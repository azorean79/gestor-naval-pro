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RTIFICADO" sheetId="1" r:id="rId1"/>
    <sheet name="QUADRO" sheetId="2" r:id="rId2"/>
  </sheets>
  <definedNames>
    <definedName name="_xlnm.Print_Area" localSheetId="0">CERTIFICADO!$A$1:$L$77</definedName>
    <definedName name="_xlnm.Print_Area" localSheetId="1">QUADRO!$A$2:$K$85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3">
    <numFmt numFmtId="56" formatCode="&quot;上午/下午 &quot;hh&quot;時&quot;mm&quot;分&quot;ss&quot;秒 &quot;"/>
    <numFmt numFmtId="164" formatCode="General"/>
    <numFmt numFmtId="165" formatCode="@"/>
    <numFmt numFmtId="166" formatCode="0"/>
    <numFmt numFmtId="167" formatCode="mmm/yy"/>
    <numFmt numFmtId="168" formatCode="0.000"/>
    <numFmt numFmtId="169" formatCode="mm/yyyy"/>
    <numFmt numFmtId="170" formatCode="dd/mm/yyyy"/>
    <numFmt numFmtId="171" formatCode="dd/mmm"/>
    <numFmt numFmtId="172" formatCode="h:mm"/>
    <numFmt numFmtId="173" formatCode="0.0"/>
    <numFmt numFmtId="174" formatCode="0.00%"/>
    <numFmt numFmtId="175" formatCode="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"/>
  <sheetViews>
    <sheetView workbookViewId="0" rightToLeft="0"/>
  </sheetViews>
  <sheetData>
    <row r="3">
      <c r="I3" s="1" t="str">
        <v xml:space="preserve">           Certificate No.:</v>
      </c>
      <c r="K3" s="1" t="str">
        <f>QUADRO!I5</f>
        <v>AZ26-2865</v>
      </c>
    </row>
    <row r="4">
      <c r="H4" s="1" t="str">
        <v xml:space="preserve"> </v>
      </c>
      <c r="I4" s="1" t="str">
        <v xml:space="preserve">                Certificado No.:</v>
      </c>
    </row>
    <row r="5">
      <c r="I5" s="1" t="str">
        <v>AZ26-2865</v>
      </c>
    </row>
    <row r="6">
      <c r="A6" s="1" t="str">
        <v xml:space="preserve">CERTIFICATE OF RE-INSPECTION </v>
      </c>
    </row>
    <row r="7">
      <c r="A7" s="1" t="str">
        <v>This is to certify that the raft detailed below has been surveyed, controlled and tested in compliance with requirements from:</v>
      </c>
    </row>
    <row r="8">
      <c r="B8" s="1" t="str">
        <v>IPTM   and the manufacturer and in acoordance with IMO Resolution:  A.761(18)</v>
      </c>
    </row>
    <row r="10">
      <c r="A10" s="1" t="str">
        <v>Identification:</v>
      </c>
      <c r="C10" s="1" t="str">
        <v>Type:</v>
      </c>
      <c r="G10" s="1" t="str">
        <v>Capacity:</v>
      </c>
      <c r="I10" s="1" t="str">
        <v>Serial No.</v>
      </c>
      <c r="K10" s="1" t="str">
        <v>Date of Manuf.:</v>
      </c>
    </row>
    <row r="11">
      <c r="A11" s="1" t="str">
        <v>Identificação:</v>
      </c>
      <c r="C11" s="1" t="str">
        <v>Tipo:</v>
      </c>
      <c r="G11" s="1" t="str">
        <v>Capacidade:</v>
      </c>
      <c r="I11" s="1" t="str">
        <v>No. Série:</v>
      </c>
      <c r="K11" s="1" t="str">
        <v>Data de Fabr.:</v>
      </c>
    </row>
    <row r="12">
      <c r="C12" s="1" t="str">
        <f>QUADRO!H7</f>
        <v>RFD SURVIVA MKIV</v>
      </c>
      <c r="G12" s="1">
        <f>QUADRO!J7</f>
        <v>20</v>
      </c>
      <c r="I12" s="1" t="str">
        <f>QUADRO!C7</f>
        <v>RFD-MKIV-ESP-1770163975684</v>
      </c>
      <c r="K12" s="1" t="str">
        <f>QUADRO!G79</f>
        <v>05/2014</v>
      </c>
    </row>
    <row r="13">
      <c r="C13" s="1" t="str">
        <v>Fabric type:</v>
      </c>
      <c r="G13" s="1" t="str">
        <v>Length of painter:</v>
      </c>
      <c r="K13" s="1" t="str">
        <v>Max stowage height:</v>
      </c>
    </row>
    <row r="14">
      <c r="C14" s="1" t="str">
        <v>Tipo de tela:</v>
      </c>
      <c r="G14" s="1" t="str">
        <v>Comp. da retenida:</v>
      </c>
      <c r="K14" s="1" t="str">
        <v>Altura máx. Lançamento:</v>
      </c>
    </row>
    <row r="15">
      <c r="C15" s="1" t="str">
        <v>PU</v>
      </c>
      <c r="G15" s="1">
        <v>10</v>
      </c>
      <c r="H15" s="1" t="str">
        <v>m/inside</v>
      </c>
      <c r="I15" s="1">
        <v>1</v>
      </c>
      <c r="J15" s="1" t="str">
        <v>m/outside</v>
      </c>
      <c r="K15" s="1">
        <v>6</v>
      </c>
    </row>
    <row r="17">
      <c r="A17" s="1" t="str">
        <v>Cylinders:</v>
      </c>
      <c r="C17" s="1" t="str">
        <v>Serial No.</v>
      </c>
      <c r="G17" s="1" t="str">
        <v>Contents CO2</v>
      </c>
      <c r="I17" s="1" t="str">
        <v>Contents N2</v>
      </c>
      <c r="K17" s="1" t="str">
        <v>Latest hyd. Test</v>
      </c>
    </row>
    <row r="18">
      <c r="A18" s="1" t="str">
        <v>Cilindros:</v>
      </c>
      <c r="C18" s="1" t="str">
        <v>No. Série</v>
      </c>
      <c r="G18" s="1" t="str">
        <v>Quantidade de Co2</v>
      </c>
      <c r="I18" s="1" t="str">
        <v>Quantidade de N2</v>
      </c>
      <c r="K18" s="1" t="str">
        <v>Último teste hidráulico</v>
      </c>
    </row>
    <row r="19">
      <c r="C19" s="1" t="str">
        <f>QUADRO!I56</f>
        <v>LEAF-CO2-N2-001</v>
      </c>
      <c r="G19" s="1">
        <f>QUADRO!I62</f>
        <v>8.8</v>
      </c>
      <c r="I19" s="1" t="str">
        <f>QUADRO!I64</f>
        <v>0,44</v>
      </c>
      <c r="K19" s="1" t="str">
        <f>QUADRO!I66</f>
        <v>02/2026</v>
      </c>
    </row>
    <row r="24">
      <c r="A24" s="1" t="str">
        <v>Equipment:</v>
      </c>
      <c r="C24" s="1" t="str">
        <v>Unit</v>
      </c>
      <c r="G24" s="1" t="str">
        <v>Type</v>
      </c>
      <c r="I24" s="1" t="str">
        <v xml:space="preserve">Serial No. </v>
      </c>
      <c r="K24" s="1" t="str">
        <v>Expiry date</v>
      </c>
    </row>
    <row r="25">
      <c r="A25" s="1" t="str">
        <v>Equipamento:</v>
      </c>
      <c r="G25" s="1" t="str">
        <v>Tipo</v>
      </c>
      <c r="I25" s="1" t="str">
        <v>No. Série</v>
      </c>
      <c r="K25" s="1" t="str">
        <v>Validade</v>
      </c>
    </row>
    <row r="26">
      <c r="C26" s="1" t="str">
        <v>Emengency pack:</v>
      </c>
      <c r="G26" s="1" t="str">
        <f>QUADRO!F47</f>
        <v>MIN</v>
      </c>
      <c r="I26" s="1" t="str">
        <f>QUADRO!C7</f>
        <v>RFD-MKIV-ESP-1770163975684</v>
      </c>
      <c r="K26" s="1">
        <f>QUADRO!F81+366</f>
        <v>46326</v>
      </c>
    </row>
    <row r="27">
      <c r="C27" s="1" t="str">
        <v>Equi. de emerg.:</v>
      </c>
    </row>
    <row r="28">
      <c r="C28" s="1" t="str">
        <v>EPIRB:</v>
      </c>
    </row>
    <row r="29">
      <c r="C29" s="1" t="str">
        <v>Rádio Baliza:</v>
      </c>
    </row>
    <row r="30">
      <c r="C30" s="1" t="str">
        <v>HRU test:</v>
      </c>
    </row>
    <row r="31">
      <c r="C31" s="1" t="str">
        <v>Teste do Hidróstatico:</v>
      </c>
    </row>
    <row r="32">
      <c r="C32" s="1" t="str">
        <v>Radar reflector:</v>
      </c>
      <c r="K32" s="1" t="str">
        <v xml:space="preserve"> </v>
      </c>
    </row>
    <row r="33">
      <c r="C33" s="1" t="str">
        <v>Reflector de Radar:</v>
      </c>
    </row>
    <row r="34">
      <c r="C34" s="1" t="str">
        <v>First aid kit:</v>
      </c>
      <c r="G34" s="1" t="str">
        <v>SOLAS</v>
      </c>
      <c r="K34" s="1">
        <f>QUADRO!J13</f>
        <v>0</v>
      </c>
    </row>
    <row r="35">
      <c r="C35" s="1" t="str">
        <v>Ambulância:</v>
      </c>
    </row>
    <row r="38">
      <c r="A38" s="1" t="str">
        <v>Tests:</v>
      </c>
      <c r="C38" s="1" t="str">
        <v>NAP - test</v>
      </c>
      <c r="G38" s="1" t="str">
        <v>Gas inflation test</v>
      </c>
      <c r="I38" s="1" t="str">
        <v>Floor seam test</v>
      </c>
      <c r="K38" s="1" t="str">
        <v>Load test D. L.</v>
      </c>
    </row>
    <row r="39">
      <c r="A39" s="1" t="str">
        <v>Testes:</v>
      </c>
    </row>
    <row r="40">
      <c r="C40" s="1" t="str">
        <v>Yes/No</v>
      </c>
      <c r="E40" s="1" t="str">
        <v>NO</v>
      </c>
      <c r="G40" s="1" t="str">
        <v>Yes/No</v>
      </c>
      <c r="H40" s="1" t="str">
        <v>NO</v>
      </c>
      <c r="I40" s="1" t="str">
        <v>YES/NO</v>
      </c>
      <c r="J40" s="1" t="str">
        <v>NO</v>
      </c>
      <c r="K40" s="1" t="str">
        <v>Yes/No</v>
      </c>
      <c r="L40" s="1" t="str">
        <v>N/A</v>
      </c>
    </row>
    <row r="41">
      <c r="C41" s="1" t="str">
        <v>Sim/Não</v>
      </c>
      <c r="G41" s="1" t="str">
        <v>Sim/Não</v>
      </c>
      <c r="I41" s="1" t="str">
        <v>Sim/Não</v>
      </c>
      <c r="K41" s="1" t="str">
        <v>Sim/Não</v>
      </c>
    </row>
    <row r="42">
      <c r="C42" s="1" t="str">
        <v>Latest test:</v>
      </c>
      <c r="G42" s="1" t="str">
        <v>Latest test:</v>
      </c>
      <c r="I42" s="1" t="str">
        <v>Latest test:</v>
      </c>
      <c r="K42" s="1" t="str">
        <v>Latest test:</v>
      </c>
      <c r="L42" s="1" t="str">
        <f>QUADRO!J53</f>
        <v xml:space="preserve"> </v>
      </c>
    </row>
    <row r="43">
      <c r="C43" s="1" t="str">
        <v>Último teste:</v>
      </c>
      <c r="G43" s="1" t="str">
        <v>Último teste:</v>
      </c>
      <c r="I43" s="1" t="str">
        <v>Último teste:</v>
      </c>
      <c r="K43" s="1" t="str">
        <v>Último teste:</v>
      </c>
    </row>
    <row r="45">
      <c r="A45" s="1" t="str">
        <v>Verification:</v>
      </c>
      <c r="C45" s="1" t="str">
        <v>Date of inspection:</v>
      </c>
      <c r="G45" s="1" t="str">
        <v>Service station name and No.</v>
      </c>
      <c r="K45" s="1" t="str">
        <v>Date next inspection:</v>
      </c>
    </row>
    <row r="46">
      <c r="A46" s="1" t="str">
        <v>Verificação:</v>
      </c>
      <c r="C46" s="1" t="str">
        <v>Data da inspecção:</v>
      </c>
      <c r="G46" s="1" t="str">
        <v>Nome e No. da Estação de Serviço</v>
      </c>
      <c r="K46" s="1" t="str">
        <v>Data da próxima inspecção:</v>
      </c>
    </row>
    <row r="47">
      <c r="C47" s="1">
        <f>QUADRO!F81</f>
        <v>45960</v>
      </c>
      <c r="G47" s="1" t="str">
        <f>QUADRO!C81</f>
        <v xml:space="preserve">OREY TÉCNICA </v>
      </c>
      <c r="K47" s="1">
        <f>C47+365</f>
        <v>46325</v>
      </c>
    </row>
    <row r="49">
      <c r="C49" s="1" t="str">
        <v>National Marine</v>
      </c>
      <c r="F49" s="1" t="str">
        <v>Remarks/Modifications Observações/Modificações</v>
      </c>
    </row>
    <row r="50">
      <c r="C50" s="1" t="str">
        <v>authority ID No.</v>
      </c>
      <c r="F50" s="1" t="str">
        <v>REPORT ANNEXED</v>
      </c>
    </row>
    <row r="54">
      <c r="B54" s="1" t="str">
        <v>According to SOLAS regulation, this inflatable liferaft requires servicing within 12 months from the date of inspection.</v>
      </c>
    </row>
    <row r="55">
      <c r="B55" s="1" t="str">
        <v>De acordo com a regulação SOLAS, esta jangada insuflavel requer inspecção dentro de 12 meses a partir da data de inspecção.</v>
      </c>
    </row>
    <row r="57">
      <c r="A57" s="1" t="str">
        <v>Flag of Ship:</v>
      </c>
      <c r="D57" s="1" t="str">
        <v>PORTUGAL</v>
      </c>
    </row>
    <row r="58">
      <c r="A58" s="1" t="str">
        <v>Nacionalidade:</v>
      </c>
    </row>
    <row r="59">
      <c r="A59" s="1" t="str">
        <v>IMO No.</v>
      </c>
      <c r="C59" s="1" t="str">
        <v xml:space="preserve"> </v>
      </c>
      <c r="I59" s="1" t="str">
        <v>OREY TECNICA - SERVIÇOS NAVAIS, LDA.</v>
      </c>
      <c r="Q59" s="1" t="str">
        <v xml:space="preserve"> </v>
      </c>
    </row>
    <row r="60">
      <c r="I60" s="1" t="str">
        <v>For authorized servicing station</v>
      </c>
    </row>
    <row r="61">
      <c r="A61" s="1" t="str">
        <v>International call signal:</v>
      </c>
    </row>
    <row r="62">
      <c r="A62" s="1" t="str">
        <v>Indicativo de chamada:</v>
      </c>
    </row>
    <row r="63">
      <c r="A63" s="1" t="str">
        <v>Name of Ship:</v>
      </c>
      <c r="D63" s="1" t="str">
        <f>QUADRO!E7</f>
        <v>SAULO</v>
      </c>
    </row>
    <row r="64">
      <c r="A64" s="1" t="str">
        <v>Nome do navio</v>
      </c>
    </row>
    <row r="65">
      <c r="A65" s="1" t="str">
        <v>Ship owner:</v>
      </c>
      <c r="D65" s="1" t="str">
        <v>MELO E RAPOSO LDA</v>
      </c>
    </row>
    <row r="66">
      <c r="A66" s="1" t="str">
        <v>Armador:</v>
      </c>
      <c r="J66" s="1" t="str">
        <v>Signature</v>
      </c>
    </row>
    <row r="69" xml:space="preserve">
      <c r="A69" s="1" t="str" xml:space="preserve">
        <v xml:space="preserve">OREY GROUP:   OREY Financial   |   OREY International   |   OREY Shipping   |   OREY Technical
Orey Técnica – Serviços Navais, Lda
Polígono Industrial Lezíria Park, Armazém 2, E.N. 10, 2625-445 Forte da Casa   Tel:+(351) 213 610 890   Fax:+(351) 213 640 144   E-mail: orey-tecnica@orey.com  
Delegação Norte: Rua Roberto Ivens, nº 315, 4450-253 Matosinhos   Tel:+(351) 229 363 490   Fax:+(351) 229 363 491   E-mail: leixoes.tecnica@orey.com
Delegação Sul: Zona Industrial e Comercial do Rogel, Lt.3, Fracção G, 8365-204 Alcantarilha Tel:+(351) 282 322 795 Fax:+(351) 282 322 156  E-mail:algarve.tecnica@orey.com
Delegação Açores: Zona Industrial dos Portões Vermelhos, Armazém 19, 9560-350 Cabouco-Lagoa Tel:+(351) 296 929 314  Fax:+(351) 296 929 315   E-mail: azores.tecnica@orey.com
www.oreytecnica.com  </v>
      </c>
    </row>
    <row r="77">
      <c r="G77" s="1" t="str">
        <v>IM.051/00</v>
      </c>
    </row>
    <row r="81">
      <c r="F81" s="1">
        <v>44145</v>
      </c>
    </row>
  </sheetData>
  <mergeCells count="114">
    <mergeCell ref="I3:J3"/>
    <mergeCell ref="K3:L3"/>
    <mergeCell ref="I4:J4"/>
    <mergeCell ref="A6:L6"/>
    <mergeCell ref="A7:L7"/>
    <mergeCell ref="B8:K8"/>
    <mergeCell ref="C12:F12"/>
    <mergeCell ref="G12:H12"/>
    <mergeCell ref="I12:J12"/>
    <mergeCell ref="K12:L12"/>
    <mergeCell ref="C15:F15"/>
    <mergeCell ref="K15:L15"/>
    <mergeCell ref="C17:E17"/>
    <mergeCell ref="G17:H17"/>
    <mergeCell ref="I17:J17"/>
    <mergeCell ref="K17:L17"/>
    <mergeCell ref="C18:E18"/>
    <mergeCell ref="G18:H18"/>
    <mergeCell ref="I18:J18"/>
    <mergeCell ref="K18:L18"/>
    <mergeCell ref="C19:F19"/>
    <mergeCell ref="G19:H19"/>
    <mergeCell ref="I19:J19"/>
    <mergeCell ref="K19:L19"/>
    <mergeCell ref="C20:F20"/>
    <mergeCell ref="G20:H20"/>
    <mergeCell ref="I20:J20"/>
    <mergeCell ref="K20:L20"/>
    <mergeCell ref="C21:F21"/>
    <mergeCell ref="G21:H21"/>
    <mergeCell ref="I21:J21"/>
    <mergeCell ref="K21:L21"/>
    <mergeCell ref="C22:F22"/>
    <mergeCell ref="G22:H22"/>
    <mergeCell ref="I22:J22"/>
    <mergeCell ref="K22:L22"/>
    <mergeCell ref="C24:E24"/>
    <mergeCell ref="G24:H24"/>
    <mergeCell ref="I24:J24"/>
    <mergeCell ref="K24:L24"/>
    <mergeCell ref="C25:E25"/>
    <mergeCell ref="G25:H25"/>
    <mergeCell ref="I25:J25"/>
    <mergeCell ref="K25:L25"/>
    <mergeCell ref="C26:E26"/>
    <mergeCell ref="G26:H27"/>
    <mergeCell ref="I26:J27"/>
    <mergeCell ref="K26:L27"/>
    <mergeCell ref="C27:E27"/>
    <mergeCell ref="C28:E28"/>
    <mergeCell ref="G28:H29"/>
    <mergeCell ref="I28:J29"/>
    <mergeCell ref="K28:L29"/>
    <mergeCell ref="C29:E29"/>
    <mergeCell ref="C30:E30"/>
    <mergeCell ref="G30:H31"/>
    <mergeCell ref="I30:J31"/>
    <mergeCell ref="K30:L31"/>
    <mergeCell ref="C31:E31"/>
    <mergeCell ref="C32:E32"/>
    <mergeCell ref="G32:H33"/>
    <mergeCell ref="I32:J33"/>
    <mergeCell ref="K32:L33"/>
    <mergeCell ref="C33:E33"/>
    <mergeCell ref="C34:E34"/>
    <mergeCell ref="G34:H35"/>
    <mergeCell ref="I34:J35"/>
    <mergeCell ref="K34:L35"/>
    <mergeCell ref="C35:E35"/>
    <mergeCell ref="C37:E37"/>
    <mergeCell ref="G37:H37"/>
    <mergeCell ref="I37:J37"/>
    <mergeCell ref="K37:L37"/>
    <mergeCell ref="C38:E38"/>
    <mergeCell ref="G38:H38"/>
    <mergeCell ref="I38:J38"/>
    <mergeCell ref="K38:L38"/>
    <mergeCell ref="E40:F41"/>
    <mergeCell ref="H40:H41"/>
    <mergeCell ref="J40:J41"/>
    <mergeCell ref="L40:L41"/>
    <mergeCell ref="E42:F43"/>
    <mergeCell ref="H42:H43"/>
    <mergeCell ref="J42:J43"/>
    <mergeCell ref="L42:L43"/>
    <mergeCell ref="C47:F47"/>
    <mergeCell ref="G47:J47"/>
    <mergeCell ref="K47:L47"/>
    <mergeCell ref="C49:E49"/>
    <mergeCell ref="C50:E50"/>
    <mergeCell ref="F50:L52"/>
    <mergeCell ref="C51:E52"/>
    <mergeCell ref="B54:L54"/>
    <mergeCell ref="B55:L55"/>
    <mergeCell ref="A57:B57"/>
    <mergeCell ref="D57:E58"/>
    <mergeCell ref="A58:B58"/>
    <mergeCell ref="A59:B59"/>
    <mergeCell ref="D59:E60"/>
    <mergeCell ref="I59:L59"/>
    <mergeCell ref="A60:B60"/>
    <mergeCell ref="I60:L60"/>
    <mergeCell ref="D61:E62"/>
    <mergeCell ref="A62:B62"/>
    <mergeCell ref="A63:B63"/>
    <mergeCell ref="D63:G64"/>
    <mergeCell ref="A64:B64"/>
    <mergeCell ref="A65:B65"/>
    <mergeCell ref="D65:I66"/>
    <mergeCell ref="J65:K65"/>
    <mergeCell ref="A66:B66"/>
    <mergeCell ref="J66:K66"/>
    <mergeCell ref="A69:L76"/>
    <mergeCell ref="G77:H77"/>
  </mergeCells>
  <pageMargins left="0.25" right="0.25" top="0.75" bottom="0.75" header="0.511811023622047" footer="0.511811023622047"/>
  <ignoredErrors>
    <ignoredError numberStoredAsText="1" sqref="A1:Q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84"/>
  <sheetViews>
    <sheetView workbookViewId="0" rightToLeft="0"/>
  </sheetViews>
  <sheetData>
    <row r="3">
      <c r="D3" s="1" t="str">
        <v>QUADRO DE INSPECÇÃO DA JANGADA</v>
      </c>
      <c r="H3" s="1" t="str">
        <v>OBRA Nº:</v>
      </c>
    </row>
    <row r="4">
      <c r="B4" s="1" t="str">
        <v xml:space="preserve">                                         </v>
      </c>
      <c r="D4" s="1" t="str">
        <v xml:space="preserve"> LIFERAFT INSPECTION SCHEDULE</v>
      </c>
    </row>
    <row r="5">
      <c r="B5" s="1" t="str">
        <v xml:space="preserve">                     </v>
      </c>
      <c r="H5" s="1" t="str">
        <v>CERT. Nº</v>
      </c>
      <c r="I5" s="1" t="str">
        <v>AZ26-2865</v>
      </c>
    </row>
    <row r="7">
      <c r="B7" s="1" t="str">
        <v>JANGADA:</v>
      </c>
      <c r="C7" s="1" t="str">
        <v>RFD-MKIV-ESP-1770163975684</v>
      </c>
      <c r="D7" s="1" t="str">
        <v>NAVIO:</v>
      </c>
      <c r="E7" s="1" t="str">
        <v>ESPIRITO SANTO</v>
      </c>
      <c r="G7" s="1" t="str">
        <v>MARCA/MODELO:</v>
      </c>
      <c r="H7" s="1" t="str">
        <v>RFD SURVIVA MKIV</v>
      </c>
      <c r="J7" s="1">
        <v>20</v>
      </c>
    </row>
    <row r="8">
      <c r="B8" s="1" t="str">
        <v>LIFERAFT:</v>
      </c>
      <c r="D8" s="1" t="str">
        <v>SHIP:</v>
      </c>
      <c r="G8" s="1" t="str">
        <v>BRAND/TYPE:</v>
      </c>
    </row>
    <row r="10">
      <c r="B10" s="1" t="str">
        <v>JANGADA - EXTERIOR</v>
      </c>
      <c r="D10" s="1" t="str">
        <v>Fecho da Cobertura</v>
      </c>
      <c r="G10" s="1" t="str">
        <v>Ajudas Térmicas</v>
      </c>
    </row>
    <row r="11">
      <c r="B11" s="1" t="str">
        <v>LIFERAFT - EXTERNAL</v>
      </c>
      <c r="D11" s="1" t="str">
        <v>Closure for Canopy</v>
      </c>
      <c r="G11" s="1" t="str">
        <v>Thermal Protective Aids</v>
      </c>
    </row>
    <row r="12">
      <c r="B12" s="1" t="str">
        <v>Cobertura Exterior</v>
      </c>
      <c r="D12" s="1" t="str">
        <v>Protectores de Juntas</v>
      </c>
      <c r="G12" s="1" t="str">
        <v>Ambulância</v>
      </c>
      <c r="O12" s="1" t="str">
        <v xml:space="preserve"> </v>
      </c>
    </row>
    <row r="13">
      <c r="B13" s="1" t="str">
        <v>Canopy External</v>
      </c>
      <c r="D13" s="1" t="str">
        <v>Seam Protective Tapes</v>
      </c>
      <c r="G13" s="1" t="str">
        <v>First Aid Kit</v>
      </c>
    </row>
    <row r="14">
      <c r="B14" s="1" t="str">
        <v>Saída de Antena</v>
      </c>
      <c r="D14" s="1" t="str">
        <v>Colectores de Água</v>
      </c>
      <c r="G14" s="1" t="str">
        <v>Comprimidos p/ Enjoo</v>
      </c>
      <c r="O14" s="1" t="str">
        <v xml:space="preserve"> </v>
      </c>
    </row>
    <row r="15">
      <c r="B15" s="1" t="str">
        <v>Aerial Outlet</v>
      </c>
      <c r="D15" s="1" t="str">
        <v>Water Collectors</v>
      </c>
      <c r="G15" s="1" t="str">
        <v>Seasickness Tables</v>
      </c>
      <c r="J15" s="1" t="str">
        <v>04/27</v>
      </c>
    </row>
    <row r="16">
      <c r="B16" s="1" t="str">
        <v>Reflectores</v>
      </c>
      <c r="D16" s="1" t="str">
        <v>Manual de Instruções</v>
      </c>
      <c r="G16" s="1" t="str">
        <v>Foguetões Paraquedas</v>
      </c>
    </row>
    <row r="17">
      <c r="B17" s="1" t="str">
        <v>Reflective Tape</v>
      </c>
      <c r="D17" s="1" t="str">
        <v>Instructions Manual</v>
      </c>
      <c r="G17" s="1" t="str">
        <v>Parachute Rockets</v>
      </c>
    </row>
    <row r="18">
      <c r="B18" s="1" t="str">
        <v>Tubo de Identificação</v>
      </c>
      <c r="D18" s="1" t="str">
        <v>Tecido de Câmara e Fundo</v>
      </c>
      <c r="G18" s="1" t="str">
        <v>Fachos de Mão</v>
      </c>
    </row>
    <row r="19">
      <c r="B19" s="1" t="str">
        <v>Identificatior card / tube</v>
      </c>
      <c r="D19" s="1" t="str">
        <v>Tubes and Floor Fabric</v>
      </c>
      <c r="G19" s="1" t="str">
        <v>Handflares</v>
      </c>
      <c r="I19" s="1" t="str">
        <v>(3)</v>
      </c>
      <c r="J19" s="1" t="str">
        <v>08/27</v>
      </c>
    </row>
    <row r="20">
      <c r="B20" s="1" t="str">
        <v>Protectores de Juntas</v>
      </c>
      <c r="D20" s="1" t="str">
        <v>Fecho do Saco de Emergência</v>
      </c>
      <c r="G20" s="1" t="str">
        <v>Potes de Fumo</v>
      </c>
    </row>
    <row r="21">
      <c r="B21" s="1" t="str">
        <v>Seam Protecting Tapes</v>
      </c>
      <c r="D21" s="1" t="str">
        <v>Fastening for Emergency Pack</v>
      </c>
      <c r="G21" s="1" t="str">
        <v>Smoke Signals</v>
      </c>
    </row>
    <row r="22">
      <c r="B22" s="1" t="str">
        <v>Câmara e Fundo</v>
      </c>
      <c r="D22" s="1" t="str">
        <v>Luz Interior e Bateria</v>
      </c>
      <c r="G22" s="1" t="str">
        <v>Lanterna</v>
      </c>
    </row>
    <row r="23">
      <c r="B23" s="1" t="str">
        <v>Buoyancy Tubes and Floor</v>
      </c>
      <c r="D23" s="1" t="str">
        <v>Inside Light and Battery</v>
      </c>
      <c r="G23" s="1" t="str">
        <v>Torch with Spares</v>
      </c>
    </row>
    <row r="24">
      <c r="B24" s="1" t="str">
        <v>Sistema de Endireitar</v>
      </c>
      <c r="D24" s="1" t="str">
        <v>Bateria de Lítio</v>
      </c>
      <c r="G24" s="1" t="str">
        <v>Pilhas para Lanterna</v>
      </c>
    </row>
    <row r="25">
      <c r="B25" s="1" t="str">
        <v>Righting System</v>
      </c>
      <c r="D25" s="1" t="str">
        <v>Lithium Battery</v>
      </c>
      <c r="G25" s="1" t="str">
        <v>Torch Batteries</v>
      </c>
      <c r="J25" s="1" t="str">
        <v>(4)</v>
      </c>
    </row>
    <row r="26">
      <c r="B26" s="1" t="str">
        <v>Bolsas de Estabilização</v>
      </c>
      <c r="D26" s="1" t="str">
        <v>Válvulas de Insuflação</v>
      </c>
      <c r="G26" s="1" t="str">
        <v>Apito</v>
      </c>
    </row>
    <row r="27">
      <c r="B27" s="1" t="str">
        <v>Stabilizing Pockets</v>
      </c>
      <c r="D27" s="1" t="str">
        <v>Inflation Valves</v>
      </c>
      <c r="G27" s="1" t="str">
        <v>Whistle</v>
      </c>
    </row>
    <row r="28">
      <c r="B28" s="1" t="str">
        <v>Luz Exterior e Bateria</v>
      </c>
      <c r="D28" s="1" t="str">
        <v>Válvulas de Atestar</v>
      </c>
      <c r="G28" s="1" t="str">
        <v>Estojo de Pesca</v>
      </c>
    </row>
    <row r="29">
      <c r="B29" s="1" t="str">
        <v>Top Light and Battery</v>
      </c>
      <c r="D29" s="1" t="str">
        <v>Topping Up Valves</v>
      </c>
      <c r="G29" s="1" t="str">
        <v>Fishing Kit</v>
      </c>
    </row>
    <row r="30">
      <c r="B30" s="1" t="str">
        <v>Bateria Activada</v>
      </c>
      <c r="D30" s="1" t="str">
        <v>Suporte de Antena</v>
      </c>
      <c r="G30" s="1" t="str">
        <v>Esponjas</v>
      </c>
    </row>
    <row r="31">
      <c r="B31" s="1" t="str">
        <v>Seacell Battery</v>
      </c>
      <c r="D31" s="1" t="str">
        <v>Aerial Support</v>
      </c>
      <c r="G31" s="1" t="str">
        <v>Sponges</v>
      </c>
    </row>
    <row r="32">
      <c r="B32" s="1" t="str">
        <v>Rampa ou Escada</v>
      </c>
      <c r="D32" s="1" t="str">
        <v>Arco e Cinta de Remate</v>
      </c>
      <c r="G32" s="1" t="str">
        <v>Abre-Latas</v>
      </c>
    </row>
    <row r="33">
      <c r="B33" s="1" t="str">
        <v>Boarding Ramp or Ladder</v>
      </c>
      <c r="D33" s="1" t="str">
        <v>Arch and Rubber Band</v>
      </c>
      <c r="G33" s="1" t="str">
        <v>Tin Openers</v>
      </c>
    </row>
    <row r="34">
      <c r="B34" s="1" t="str">
        <v>Válvulas Segurança e Tampões</v>
      </c>
      <c r="D34" s="1" t="str">
        <v>ÍNVOLUCRO</v>
      </c>
      <c r="G34" s="1" t="str">
        <v>Tesouras</v>
      </c>
    </row>
    <row r="35">
      <c r="B35" s="1" t="str">
        <v>Relief Valves and Stoppers</v>
      </c>
      <c r="C35" s="1" t="str">
        <v>A10</v>
      </c>
      <c r="D35" s="1" t="str">
        <v>CONTAINER</v>
      </c>
      <c r="G35" s="1" t="str">
        <v>Scissors</v>
      </c>
    </row>
    <row r="36">
      <c r="B36" s="1" t="str">
        <v>União Banjo - Câmara Superior</v>
      </c>
      <c r="D36" s="1" t="str">
        <v>Cinta de Fecho</v>
      </c>
      <c r="G36" s="1" t="str">
        <v>Sacos para Enjoo</v>
      </c>
    </row>
    <row r="37">
      <c r="B37" s="1" t="str">
        <v>Banjo Bolt - Lower Tube</v>
      </c>
      <c r="D37" s="1" t="str">
        <v>Bursting Band / Tape</v>
      </c>
      <c r="F37" s="1" t="str">
        <v>(2)</v>
      </c>
      <c r="G37" s="1" t="str">
        <v>Seasickness Bags</v>
      </c>
    </row>
    <row r="38">
      <c r="B38" s="1" t="str">
        <v>União Banjo - Câmara Inferior</v>
      </c>
      <c r="D38" s="1" t="str">
        <v>Saco de Retenida</v>
      </c>
      <c r="G38" s="1" t="str">
        <v>Heliógrafo</v>
      </c>
    </row>
    <row r="39">
      <c r="B39" s="1" t="str">
        <v>Banjo Bolt - Lower Tube</v>
      </c>
      <c r="D39" s="1" t="str">
        <v>Painter Line Bag</v>
      </c>
      <c r="G39" s="1" t="str">
        <v>Signalling Mirror</v>
      </c>
    </row>
    <row r="40">
      <c r="B40" s="1" t="str">
        <v>Grinalda e Espelhos</v>
      </c>
      <c r="D40" s="1" t="str">
        <v>Comprimento da Retenida</v>
      </c>
      <c r="G40" s="1" t="str">
        <v>Manual de Sobrevivência</v>
      </c>
    </row>
    <row r="41">
      <c r="B41" s="1" t="str">
        <v>Grabline and Patches</v>
      </c>
      <c r="D41" s="1" t="str">
        <v>Leght Painter Line</v>
      </c>
      <c r="F41" s="1" t="str">
        <v>10 MT</v>
      </c>
      <c r="G41" s="1" t="str">
        <v>Survival Manual</v>
      </c>
    </row>
    <row r="42">
      <c r="B42" s="1" t="str">
        <v>Alça da Retenida e Espelhos</v>
      </c>
      <c r="D42" s="1" t="str">
        <v>Marcas do Invólucro</v>
      </c>
      <c r="G42" s="1" t="str">
        <v>Quadro de Sinais</v>
      </c>
    </row>
    <row r="43">
      <c r="B43" s="1" t="str">
        <v>Crowfoot Bridle and Patches</v>
      </c>
      <c r="D43" s="1" t="str">
        <v>Markings on Container</v>
      </c>
      <c r="G43" s="1" t="str">
        <v>Signalling Table</v>
      </c>
    </row>
    <row r="44">
      <c r="B44" s="1" t="str">
        <v>Tubos de Alta Pressão</v>
      </c>
      <c r="D44" s="1" t="str">
        <v>EQUIPAMENTO JANGADA</v>
      </c>
      <c r="G44" s="1" t="str">
        <v>Res. A761 (18)</v>
      </c>
      <c r="I44" s="1" t="str">
        <v>DATA</v>
      </c>
    </row>
    <row r="45">
      <c r="B45" s="1" t="str">
        <v>High Pressure Hoses</v>
      </c>
      <c r="D45" s="1" t="str">
        <v>RAFT EQUIPMENT</v>
      </c>
    </row>
    <row r="46">
      <c r="B46" s="1" t="str">
        <v>Cilindro CO2</v>
      </c>
      <c r="D46" s="1" t="str">
        <v>Tipo de Equipamento</v>
      </c>
      <c r="G46" s="1" t="str">
        <v>NAP - TEST</v>
      </c>
    </row>
    <row r="47">
      <c r="B47" s="1" t="str">
        <v>Cylinder CO2</v>
      </c>
      <c r="D47" s="1" t="str">
        <v>Emergency Pack Type</v>
      </c>
      <c r="F47" s="1" t="str">
        <v>MIN</v>
      </c>
    </row>
    <row r="48">
      <c r="B48" s="1" t="str">
        <v>Cabeça de Disparo</v>
      </c>
      <c r="D48" s="1" t="str">
        <v>Pagaias</v>
      </c>
      <c r="G48" s="1" t="str">
        <v>FS - TEST</v>
      </c>
      <c r="J48" s="1" t="str">
        <v xml:space="preserve"> </v>
      </c>
    </row>
    <row r="49">
      <c r="B49" s="1" t="str">
        <v>Operating Head</v>
      </c>
      <c r="C49" s="1" t="str">
        <v>GIST</v>
      </c>
      <c r="D49" s="1" t="str">
        <v>Paddles</v>
      </c>
    </row>
    <row r="50">
      <c r="B50" s="1" t="str">
        <v>Cabo de Disparo</v>
      </c>
      <c r="D50" s="1" t="str">
        <v>Fole</v>
      </c>
      <c r="G50" s="1" t="str">
        <v>GI - TEST</v>
      </c>
      <c r="J50" s="1" t="str">
        <v xml:space="preserve"> </v>
      </c>
    </row>
    <row r="51">
      <c r="B51" s="1" t="str">
        <v>Operating Wire</v>
      </c>
      <c r="D51" s="1" t="str">
        <v>Bellows</v>
      </c>
    </row>
    <row r="52">
      <c r="B52" s="1" t="str">
        <v>Capa do Sistema de Insuflação</v>
      </c>
      <c r="D52" s="1" t="str">
        <v>Jogo de Reparação</v>
      </c>
      <c r="G52" s="1" t="str">
        <v>LOAD - TEST</v>
      </c>
      <c r="J52" s="1" t="str">
        <v xml:space="preserve"> </v>
      </c>
    </row>
    <row r="53">
      <c r="B53" s="1" t="str">
        <v>Cover for Inflation System</v>
      </c>
      <c r="D53" s="1" t="str">
        <v>Repar Kit</v>
      </c>
      <c r="F53" s="1" t="str">
        <v>(1)</v>
      </c>
      <c r="J53" s="1" t="str">
        <v xml:space="preserve"> </v>
      </c>
    </row>
    <row r="54">
      <c r="B54" s="1" t="str">
        <v>Bolsa do Cilindro</v>
      </c>
      <c r="D54" s="1" t="str">
        <v>Âncora Flutuante com Linha</v>
      </c>
      <c r="G54" s="1" t="str">
        <v>CILINDROS CO2</v>
      </c>
    </row>
    <row r="55">
      <c r="B55" s="1" t="str">
        <v>Cylinder Pocket</v>
      </c>
      <c r="D55" s="1" t="str">
        <v>Sea Anchor with Line</v>
      </c>
      <c r="G55" s="1" t="str">
        <v>CO2 CYLINDERS</v>
      </c>
    </row>
    <row r="56">
      <c r="B56" s="1" t="str">
        <v>JANGADA - INTERIOR</v>
      </c>
      <c r="D56" s="1" t="str">
        <v>Batedouro</v>
      </c>
      <c r="G56" s="1" t="str">
        <v>Cil. Nº:</v>
      </c>
      <c r="I56" s="1" t="str">
        <v>M129007</v>
      </c>
    </row>
    <row r="57">
      <c r="B57" s="1" t="str">
        <v>LIFERAFT - INTERNAL</v>
      </c>
      <c r="D57" s="1" t="str">
        <v>Bailer</v>
      </c>
      <c r="G57" s="1" t="str">
        <v>Cyl. No.</v>
      </c>
    </row>
    <row r="58">
      <c r="B58" s="1" t="str">
        <v>Escada de Entrada</v>
      </c>
      <c r="D58" s="1" t="str">
        <v>Reflector de Radar</v>
      </c>
      <c r="G58" s="1" t="str">
        <v>Peso Bruto</v>
      </c>
      <c r="I58" s="1" t="str">
        <v>12,681</v>
      </c>
    </row>
    <row r="59">
      <c r="B59" s="1" t="str">
        <v>Entrance Ladder</v>
      </c>
      <c r="D59" s="1" t="str">
        <v>Radar Reflector</v>
      </c>
      <c r="G59" s="1" t="str">
        <v>Gross Weight</v>
      </c>
    </row>
    <row r="60">
      <c r="B60" s="1" t="str">
        <v>Grinalda Interior</v>
      </c>
      <c r="D60" s="1" t="str">
        <v>EQUIP. DE EMERGÊNCIA</v>
      </c>
      <c r="G60" s="1" t="str">
        <v>Tara</v>
      </c>
      <c r="I60" s="1" t="str">
        <v>10,001</v>
      </c>
    </row>
    <row r="61">
      <c r="B61" s="1" t="str">
        <v>Grabline Internal</v>
      </c>
      <c r="D61" s="1" t="str">
        <v>Emergency Pack</v>
      </c>
      <c r="G61" s="1" t="str">
        <v>Tare</v>
      </c>
    </row>
    <row r="62">
      <c r="B62" s="1" t="str">
        <v>Anel com Linha</v>
      </c>
      <c r="D62" s="1" t="str">
        <v>Saco de Água</v>
      </c>
      <c r="G62" s="1" t="str">
        <v>Carga CO2</v>
      </c>
      <c r="I62" s="1">
        <v>2.5</v>
      </c>
    </row>
    <row r="63">
      <c r="B63" s="1" t="str">
        <v>Quoit with Line</v>
      </c>
      <c r="D63" s="1" t="str">
        <v>Water Sachets</v>
      </c>
      <c r="G63" s="1" t="str">
        <v>CO2 Charge</v>
      </c>
    </row>
    <row r="64">
      <c r="B64" s="1" t="str">
        <v>Facas de Segurança</v>
      </c>
      <c r="D64" s="1" t="str">
        <v>Copo Graduado</v>
      </c>
      <c r="G64" s="1" t="str">
        <v>Carga N2</v>
      </c>
      <c r="I64" s="1" t="str">
        <v>0,160</v>
      </c>
    </row>
    <row r="65">
      <c r="B65" s="1" t="str">
        <v>Safety Knifes</v>
      </c>
      <c r="D65" s="1" t="str">
        <v>MELO E RAPOSO LDA</v>
      </c>
      <c r="G65" s="1" t="str">
        <v>N2 Charge</v>
      </c>
    </row>
    <row r="66">
      <c r="B66" s="1" t="str">
        <v>Cobertura Interior</v>
      </c>
      <c r="D66" s="1" t="str">
        <v>Rações Alimentares 0,5 Kg</v>
      </c>
      <c r="G66" s="1" t="str">
        <v>Teste Hid.</v>
      </c>
      <c r="I66" s="1" t="str">
        <v>10/20</v>
      </c>
    </row>
    <row r="67">
      <c r="B67" s="1" t="str">
        <v>Canopy Internal</v>
      </c>
      <c r="D67" s="1" t="str">
        <v>Food Rations 0,5 Kg</v>
      </c>
      <c r="G67" s="1" t="str">
        <v>Hyd. Test</v>
      </c>
    </row>
    <row r="69">
      <c r="B69" s="1" t="str">
        <v>ENSAIOS DE PRESSÃO Pressure Tests</v>
      </c>
      <c r="C69" s="1" t="str">
        <v>Unidade Pressão</v>
      </c>
      <c r="D69" s="1" t="str">
        <v xml:space="preserve">inH2O [ ] inHg [   ] mbar [ X ] </v>
      </c>
      <c r="F69" s="1" t="str">
        <v>Temp. Atmosférica</v>
      </c>
      <c r="G69" s="1" t="str">
        <v>Inicial</v>
      </c>
      <c r="H69" s="1" t="str">
        <v>17 Cº</v>
      </c>
      <c r="I69" s="1" t="str">
        <v>Final</v>
      </c>
      <c r="J69" s="1" t="str">
        <v>17 Cº</v>
      </c>
    </row>
    <row r="70">
      <c r="C70" s="1" t="str">
        <v>Pressure Unit</v>
      </c>
      <c r="F70" s="1" t="str">
        <v>Atm. Temperature</v>
      </c>
      <c r="G70" s="1" t="str">
        <v>Star</v>
      </c>
      <c r="I70" s="1" t="str">
        <v>End</v>
      </c>
    </row>
    <row r="71">
      <c r="C71" s="1" t="str">
        <v>Início / Star</v>
      </c>
      <c r="D71" s="1" t="str">
        <v>Final / Off</v>
      </c>
      <c r="E71" s="1" t="str">
        <v>Queda &lt; 5%</v>
      </c>
      <c r="F71" s="1" t="str">
        <v>Pre. Atmosférica</v>
      </c>
      <c r="G71" s="1" t="str">
        <v>Inicial</v>
      </c>
      <c r="H71" s="1" t="str">
        <v>1015 Hpa</v>
      </c>
      <c r="I71" s="1" t="str">
        <v>Final</v>
      </c>
      <c r="J71" s="1" t="str">
        <v>1015 Hpa</v>
      </c>
    </row>
    <row r="72">
      <c r="C72" s="1">
        <v>0.458333333333333</v>
      </c>
      <c r="D72" s="1">
        <v>0.5</v>
      </c>
      <c r="E72" s="1" t="str">
        <v>Drop</v>
      </c>
      <c r="F72" s="1" t="str">
        <v>Atm. Pressure</v>
      </c>
      <c r="G72" s="1" t="str">
        <v>Star</v>
      </c>
      <c r="I72" s="1" t="str">
        <v>End</v>
      </c>
    </row>
    <row r="73">
      <c r="B73" s="1" t="str">
        <v>Câmara Superior + Arco</v>
      </c>
      <c r="C73" s="1">
        <v>204</v>
      </c>
      <c r="D73" s="1">
        <v>200</v>
      </c>
      <c r="E73" s="1">
        <f>1-(D73/C73)</f>
        <v>0.0196078431372549</v>
      </c>
      <c r="F73" s="1" t="str">
        <v>Notas                                                                 Remarks</v>
      </c>
    </row>
    <row r="74">
      <c r="B74" s="1" t="str">
        <v>Upper Tube + Arch</v>
      </c>
    </row>
    <row r="75">
      <c r="B75" s="1" t="str">
        <v>Câmara Inferior</v>
      </c>
      <c r="C75" s="1">
        <v>215</v>
      </c>
      <c r="D75" s="1">
        <v>208</v>
      </c>
      <c r="E75" s="1">
        <f>1-(D75/C75)</f>
        <v>0.0325581395348837</v>
      </c>
    </row>
    <row r="76">
      <c r="B76" s="1" t="str">
        <v>Lower Tube</v>
      </c>
    </row>
    <row r="77">
      <c r="B77" s="1" t="str">
        <v>Fundo (Chão)</v>
      </c>
      <c r="E77" s="1" t="e">
        <f>1-(D77/C77)</f>
        <v>#DIV/0!</v>
      </c>
    </row>
    <row r="78">
      <c r="B78" s="1" t="str">
        <v>Floor</v>
      </c>
    </row>
    <row r="79">
      <c r="B79" s="1" t="str">
        <v xml:space="preserve">Rampa </v>
      </c>
      <c r="E79" s="1" t="e">
        <f>1-(D79/C79)</f>
        <v>#DIV/0!</v>
      </c>
      <c r="F79" s="1" t="str">
        <v>DATA FABRICO:</v>
      </c>
      <c r="G79" s="1" t="str">
        <v>09/2010</v>
      </c>
    </row>
    <row r="80">
      <c r="B80" s="1" t="str">
        <v xml:space="preserve">Boarding Ramp </v>
      </c>
      <c r="F80" s="1" t="str">
        <v>MANUF. DATE:</v>
      </c>
    </row>
    <row r="81">
      <c r="B81" s="1" t="str">
        <v>Estação de Serviço:</v>
      </c>
      <c r="C81" s="1" t="str">
        <v xml:space="preserve">OREY TÉCNICA </v>
      </c>
      <c r="E81" s="1" t="str">
        <v xml:space="preserve">Data de Insp.: </v>
      </c>
      <c r="F81" s="1">
        <v>45960</v>
      </c>
      <c r="G81" s="1" t="str">
        <v>Assinatura:</v>
      </c>
      <c r="H81" s="1" t="str">
        <v>JULIO CORREA</v>
      </c>
    </row>
    <row r="82">
      <c r="B82" s="1" t="str">
        <v>Service Station</v>
      </c>
      <c r="E82" s="1" t="str">
        <v>Inspection Date:</v>
      </c>
      <c r="G82" s="1" t="str">
        <v>Signature</v>
      </c>
    </row>
    <row r="84">
      <c r="F84" s="1" t="str">
        <v>IM.048/02</v>
      </c>
    </row>
  </sheetData>
  <mergeCells count="62">
    <mergeCell ref="D3:G3"/>
    <mergeCell ref="H3:H4"/>
    <mergeCell ref="I3:J4"/>
    <mergeCell ref="B4:C4"/>
    <mergeCell ref="D4:G4"/>
    <mergeCell ref="B5:C5"/>
    <mergeCell ref="H5:H6"/>
    <mergeCell ref="I5:J6"/>
    <mergeCell ref="C7:C8"/>
    <mergeCell ref="E7:F8"/>
    <mergeCell ref="H7:I8"/>
    <mergeCell ref="J7:J8"/>
    <mergeCell ref="G56:H56"/>
    <mergeCell ref="I56:I57"/>
    <mergeCell ref="J56:J57"/>
    <mergeCell ref="G57:H57"/>
    <mergeCell ref="G58:H58"/>
    <mergeCell ref="I58:I59"/>
    <mergeCell ref="J58:J59"/>
    <mergeCell ref="G59:H59"/>
    <mergeCell ref="G60:H60"/>
    <mergeCell ref="I60:I61"/>
    <mergeCell ref="J60:J61"/>
    <mergeCell ref="G61:H61"/>
    <mergeCell ref="G62:H62"/>
    <mergeCell ref="I62:I63"/>
    <mergeCell ref="J62:J63"/>
    <mergeCell ref="G63:H63"/>
    <mergeCell ref="G64:H64"/>
    <mergeCell ref="I64:I65"/>
    <mergeCell ref="J64:J65"/>
    <mergeCell ref="G65:H65"/>
    <mergeCell ref="G66:H66"/>
    <mergeCell ref="I66:I67"/>
    <mergeCell ref="J66:J67"/>
    <mergeCell ref="G67:H67"/>
    <mergeCell ref="B68:J68"/>
    <mergeCell ref="B69:B72"/>
    <mergeCell ref="D69:E70"/>
    <mergeCell ref="H69:H70"/>
    <mergeCell ref="J69:J70"/>
    <mergeCell ref="H71:H72"/>
    <mergeCell ref="J71:J72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D77:D78"/>
    <mergeCell ref="E77:E78"/>
    <mergeCell ref="C79:C80"/>
    <mergeCell ref="D79:D80"/>
    <mergeCell ref="E79:E80"/>
    <mergeCell ref="G79:G80"/>
    <mergeCell ref="H79:J80"/>
    <mergeCell ref="C81:D82"/>
    <mergeCell ref="F81:F82"/>
    <mergeCell ref="H81:J82"/>
  </mergeCells>
  <pageMargins left="0.39375" right="0.39375" top="0.39375" bottom="0.39375" header="0.511811023622047" footer="0.511811023622047"/>
  <ignoredErrors>
    <ignoredError numberStoredAsText="1" sqref="A1:O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Company>OTNI</Compan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CERTIFICADO</vt:lpstr>
      <vt:lpstr>QUADRO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2001-08-01T17:12:05Z</dcterms:created>
  <dcterms:modified xsi:type="dcterms:W3CDTF">2025-11-07T16:03:26Z</dcterms:modified>
  <cp:lastModifiedBy>OTNI ES Açores</cp:lastModifiedBy>
  <cp:lastPrinted>2025-11-07T16:01:44Z</cp:lastPrinted>
  <cp:revision>0</cp:revision>
  <dc:creator>Inês Lopes</dc:creator>
  <dc:language>pt-PT</dc:language>
</cp:coreProperties>
</file>