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definedNames>
    <definedName function="false" hidden="false" localSheetId="0" name="_xlnm.Print_Area" vbProcedure="false">Sheet1!$A$1:$G$104</definedName>
    <definedName function="false" hidden="true" localSheetId="0" name="_xlnm._FilterDatabase" vbProcedure="false">Sheet1!$A$7:$G$104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<sst xmlns="http://schemas.openxmlformats.org/spreadsheetml/2006/main" count="166" uniqueCount="156">
  <si>
    <t xml:space="preserve">OREY - Técnica Naval e Industrial, Lda</t>
  </si>
  <si>
    <t xml:space="preserve">No. Obra :</t>
  </si>
  <si>
    <t xml:space="preserve">FO10260001</t>
  </si>
  <si>
    <t xml:space="preserve">Cliente:</t>
  </si>
  <si>
    <t xml:space="preserve">OREY TECNICA</t>
  </si>
  <si>
    <t xml:space="preserve">Armador:</t>
  </si>
  <si>
    <t xml:space="preserve">Navio:</t>
  </si>
  <si>
    <t xml:space="preserve">FRUTO DA UNIAO</t>
  </si>
  <si>
    <t xml:space="preserve">Jangada</t>
  </si>
  <si>
    <t xml:space="preserve">RFD 5086010100001</t>
  </si>
  <si>
    <t xml:space="preserve">Pessoas</t>
  </si>
  <si>
    <t xml:space="preserve">25</t>
  </si>
  <si>
    <t xml:space="preserve">Quant.</t>
  </si>
  <si>
    <t xml:space="preserve">Nº</t>
  </si>
  <si>
    <t xml:space="preserve">Descrição</t>
  </si>
  <si>
    <t xml:space="preserve">Qte.</t>
  </si>
  <si>
    <t xml:space="preserve">Uni.</t>
  </si>
  <si>
    <t xml:space="preserve">Total</t>
  </si>
  <si>
    <t xml:space="preserve">Desc</t>
  </si>
  <si>
    <t xml:space="preserve">Euros</t>
  </si>
  <si>
    <t xml:space="preserve">L-DSB</t>
  </si>
  <si>
    <t xml:space="preserve">INSPECÇÃO JANGADA DSB</t>
  </si>
  <si>
    <t xml:space="preserve">COPO VERTEDOURO</t>
  </si>
  <si>
    <t xml:space="preserve">L-RFD</t>
  </si>
  <si>
    <t xml:space="preserve">INSPECÇÃO JANGADA RFD</t>
  </si>
  <si>
    <t xml:space="preserve">L-SOS</t>
  </si>
  <si>
    <t xml:space="preserve">INSPECÇÃO BOIA SOS</t>
  </si>
  <si>
    <t xml:space="preserve">08 Pessoas</t>
  </si>
  <si>
    <t xml:space="preserve">L-COL</t>
  </si>
  <si>
    <t xml:space="preserve">INSPECÇÃO DE COLETES</t>
  </si>
  <si>
    <t xml:space="preserve">10/12 Pessoas</t>
  </si>
  <si>
    <t xml:space="preserve">CONECTOR LIEF</t>
  </si>
  <si>
    <t xml:space="preserve">tubo de alta pressão</t>
  </si>
  <si>
    <t xml:space="preserve">20/25 Pessoas</t>
  </si>
  <si>
    <t xml:space="preserve">COLETES</t>
  </si>
  <si>
    <t xml:space="preserve">L-NAP</t>
  </si>
  <si>
    <t xml:space="preserve">NAP TESTE</t>
  </si>
  <si>
    <t xml:space="preserve">L-FS</t>
  </si>
  <si>
    <t xml:space="preserve">FS TESTE</t>
  </si>
  <si>
    <t xml:space="preserve">BATERIA RL5</t>
  </si>
  <si>
    <t xml:space="preserve">TESTE HIDRAULICO</t>
  </si>
  <si>
    <t xml:space="preserve">L-CO2</t>
  </si>
  <si>
    <t xml:space="preserve">CARGA CO2</t>
  </si>
  <si>
    <t xml:space="preserve">L-MAR</t>
  </si>
  <si>
    <t xml:space="preserve">MARCAÇÃO / MARKING</t>
  </si>
  <si>
    <t xml:space="preserve">L-LIM</t>
  </si>
  <si>
    <t xml:space="preserve">LIMPEZA / CLEANNING</t>
  </si>
  <si>
    <t xml:space="preserve">L-TR</t>
  </si>
  <si>
    <t xml:space="preserve">TRANSPORTE</t>
  </si>
  <si>
    <t xml:space="preserve">BATEDOURO</t>
  </si>
  <si>
    <t xml:space="preserve">L-CIL</t>
  </si>
  <si>
    <t xml:space="preserve">INSPECÇÃO CILINDRO</t>
  </si>
  <si>
    <t xml:space="preserve">BATERIA RESCUE DAN INT</t>
  </si>
  <si>
    <t xml:space="preserve">ES003026</t>
  </si>
  <si>
    <t xml:space="preserve">DESLOCAÇÃO TECNICOS</t>
  </si>
  <si>
    <t xml:space="preserve">30204025</t>
  </si>
  <si>
    <t xml:space="preserve">CERTIFICADO RE-INSPECÇÃO -  RFD</t>
  </si>
  <si>
    <t xml:space="preserve">DSB-certificados de Re-inspecção</t>
  </si>
  <si>
    <t xml:space="preserve">20500023</t>
  </si>
  <si>
    <t xml:space="preserve">01 FOGUETÃO C/ PARAQUEDAS   MK8A</t>
  </si>
  <si>
    <t xml:space="preserve">20500035</t>
  </si>
  <si>
    <t xml:space="preserve">02-FACHO DE MÃO VERMELHO MK8</t>
  </si>
  <si>
    <t xml:space="preserve">20500002</t>
  </si>
  <si>
    <t xml:space="preserve">03-POTES DE FUMO MK8</t>
  </si>
  <si>
    <t xml:space="preserve">PILHAS ALCALINAS 1,5V TAM.D-2 UNI</t>
  </si>
  <si>
    <t xml:space="preserve">PROTEÇÃO PARAQUEDAS</t>
  </si>
  <si>
    <t xml:space="preserve">30202012</t>
  </si>
  <si>
    <t xml:space="preserve">04 LANTERNA MARITIMA - "RFD" SOLAS</t>
  </si>
  <si>
    <t xml:space="preserve">PROTEÇÃO FACHOS</t>
  </si>
  <si>
    <t xml:space="preserve">cabeça gist branca</t>
  </si>
  <si>
    <t xml:space="preserve">30202048</t>
  </si>
  <si>
    <t xml:space="preserve">05 BATERIA RESCUE - MASTER 1</t>
  </si>
  <si>
    <t xml:space="preserve">PROTEÇÃO POTE DE FUMO</t>
  </si>
  <si>
    <t xml:space="preserve">Bateria de jangada rescue Master 3B</t>
  </si>
  <si>
    <t xml:space="preserve">BATERIA RL6</t>
  </si>
  <si>
    <t xml:space="preserve">30202014</t>
  </si>
  <si>
    <t xml:space="preserve">05 BATERIA DE LÍTIO RFD  (RB2)</t>
  </si>
  <si>
    <t xml:space="preserve">PROTEÇÃO FOLE</t>
  </si>
  <si>
    <t xml:space="preserve">FARMACIA</t>
  </si>
  <si>
    <t xml:space="preserve">30202084</t>
  </si>
  <si>
    <t xml:space="preserve">06 RAÇÃO EMERGÊNCIA - 0,5 KG</t>
  </si>
  <si>
    <t xml:space="preserve">30202085</t>
  </si>
  <si>
    <t xml:space="preserve">06 SACO DE AGUA 0,5 L</t>
  </si>
  <si>
    <t xml:space="preserve">20909107</t>
  </si>
  <si>
    <t xml:space="preserve">07 KIT REPARAÇÃO "RFD"</t>
  </si>
  <si>
    <t xml:space="preserve">ES020774</t>
  </si>
  <si>
    <t xml:space="preserve">KIT REPARACAO "OREY"</t>
  </si>
  <si>
    <t xml:space="preserve">30202013</t>
  </si>
  <si>
    <t xml:space="preserve">07 KIT REPARAÇÃO</t>
  </si>
  <si>
    <t xml:space="preserve">Comprimidos Anti-Enjoo</t>
  </si>
  <si>
    <t xml:space="preserve">COLA</t>
  </si>
  <si>
    <t xml:space="preserve">30202051</t>
  </si>
  <si>
    <t xml:space="preserve">08 COMPRIMIDOS ANTI-ENJOO - 6O UN</t>
  </si>
  <si>
    <t xml:space="preserve">30202049</t>
  </si>
  <si>
    <t xml:space="preserve">08 FARMÁCIA "RFD"</t>
  </si>
  <si>
    <t xml:space="preserve">30202050</t>
  </si>
  <si>
    <t xml:space="preserve">08 FARMÁCIA " SOLAS "</t>
  </si>
  <si>
    <t xml:space="preserve">30202055</t>
  </si>
  <si>
    <t xml:space="preserve">08 FARMÁCIA "RFD" UE</t>
  </si>
  <si>
    <t xml:space="preserve">20902001</t>
  </si>
  <si>
    <t xml:space="preserve">FARMACIA SOLAS LLOYD'S REGISTER</t>
  </si>
  <si>
    <t xml:space="preserve">20909011</t>
  </si>
  <si>
    <t xml:space="preserve">FARMACIA SOLAS - F.A.K.</t>
  </si>
  <si>
    <t xml:space="preserve">FARMACIA UE Categoria C - F.A.K.</t>
  </si>
  <si>
    <t xml:space="preserve">FARMACIA </t>
  </si>
  <si>
    <t xml:space="preserve">30202007</t>
  </si>
  <si>
    <t xml:space="preserve">24 CINTA DE APERTO COM GRAMPO</t>
  </si>
  <si>
    <t xml:space="preserve">ES012407</t>
  </si>
  <si>
    <t xml:space="preserve">CINTA APERTO COM GRAMPO</t>
  </si>
  <si>
    <t xml:space="preserve">Cintas de fecho DSB 260cm</t>
  </si>
  <si>
    <t xml:space="preserve">ES012516</t>
  </si>
  <si>
    <t xml:space="preserve">PROTECCAO CINTA APERTO</t>
  </si>
  <si>
    <t xml:space="preserve">30450020</t>
  </si>
  <si>
    <t xml:space="preserve">Cinta Universal Completa</t>
  </si>
  <si>
    <t xml:space="preserve">CINTA DE FECHO</t>
  </si>
  <si>
    <t xml:space="preserve">TUBO ALTA PRESSÃO</t>
  </si>
  <si>
    <t xml:space="preserve">27 CINTA APERTO INTERIOR</t>
  </si>
  <si>
    <t xml:space="preserve">ES012741</t>
  </si>
  <si>
    <t xml:space="preserve">saco de vacuo</t>
  </si>
  <si>
    <t xml:space="preserve">30201022</t>
  </si>
  <si>
    <t xml:space="preserve">28 ANILHA P/ FINAL DE RETENIDA SURVIVA</t>
  </si>
  <si>
    <t xml:space="preserve">ANILHA P/FINAL DE RETENIDA</t>
  </si>
  <si>
    <t xml:space="preserve">ES023006</t>
  </si>
  <si>
    <t xml:space="preserve">FITA ADESIVA - 100MM</t>
  </si>
  <si>
    <t xml:space="preserve">ES023130</t>
  </si>
  <si>
    <t xml:space="preserve">ACETATO - MANGA PLASTICA</t>
  </si>
  <si>
    <t xml:space="preserve">32 TUBO IDENTIFICAÇÃO INVÓLUCRO</t>
  </si>
  <si>
    <t xml:space="preserve">30203005</t>
  </si>
  <si>
    <t xml:space="preserve">37 TUBO ALTA PRESSÃO 790MM RFD</t>
  </si>
  <si>
    <t xml:space="preserve">VALVULAS OTS65</t>
  </si>
  <si>
    <t xml:space="preserve">30203032</t>
  </si>
  <si>
    <t xml:space="preserve">38 TUBO ALTA PRESSÃO 800 MM RFD</t>
  </si>
  <si>
    <t xml:space="preserve">Tubo de alta pressão </t>
  </si>
  <si>
    <t xml:space="preserve">Tubo de alta pressão 800mm p/Leafield</t>
  </si>
  <si>
    <t xml:space="preserve">ANILHA DE COBRE</t>
  </si>
  <si>
    <t xml:space="preserve">LUZ Externa p/jangada RL 5</t>
  </si>
  <si>
    <t xml:space="preserve"> TUBO ALTA PRESSÃO </t>
  </si>
  <si>
    <t xml:space="preserve">30202077</t>
  </si>
  <si>
    <t xml:space="preserve">41 RETENIDA RFD 28 MT</t>
  </si>
  <si>
    <t xml:space="preserve">30440004</t>
  </si>
  <si>
    <t xml:space="preserve">Painter, compl. in bag 36m, 15.000 N blue</t>
  </si>
  <si>
    <t xml:space="preserve">30202002</t>
  </si>
  <si>
    <t xml:space="preserve">40 RETENIDA RFD 10 MT</t>
  </si>
  <si>
    <t xml:space="preserve">30202078</t>
  </si>
  <si>
    <t xml:space="preserve">42 RETENIDA RFD 35 MT</t>
  </si>
  <si>
    <t xml:space="preserve">Libertador HAMMAR H20 Solas</t>
  </si>
  <si>
    <t xml:space="preserve">20701007</t>
  </si>
  <si>
    <t xml:space="preserve">Hidrostático HAMMAR H20 Não-Solas</t>
  </si>
  <si>
    <t xml:space="preserve">PARAFUSOS</t>
  </si>
  <si>
    <t xml:space="preserve">Cinta Nylon Simples 50mm c/ 4,500 mts</t>
  </si>
  <si>
    <t xml:space="preserve">Kit de rearme manual. p/coletes </t>
  </si>
  <si>
    <t xml:space="preserve">SOMA CUSTO</t>
  </si>
  <si>
    <t xml:space="preserve"> </t>
  </si>
  <si>
    <t xml:space="preserve">Garrafa de CO2, 33gr</t>
  </si>
  <si>
    <t xml:space="preserve">BRUTO=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</si>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</sst>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"/>
    <numFmt numFmtId="167" formatCode="#,##0.00"/>
    <numFmt numFmtId="168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  <font>
      <b val="true"/>
      <sz val="8"/>
      <name val="Times New Roman"/>
      <family val="1"/>
      <charset val="1"/>
    </font>
    <font>
      <b val="true"/>
      <sz val="11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color theme="3" tint="0.3999"/>
      <name val="Calibri"/>
      <family val="2"/>
      <charset val="1"/>
    </font>
    <font>
      <b val="true"/>
      <sz val="10"/>
      <color theme="3" tint="0.3999"/>
      <name val="Times New Roman"/>
      <family val="1"/>
      <charset val="1"/>
    </font>
    <font>
      <sz val="11"/>
      <color theme="3" tint="0.3999"/>
      <name val="Calibri"/>
      <family val="2"/>
      <charset val="1"/>
    </font>
    <font>
      <b val="true"/>
      <i val="true"/>
      <sz val="10"/>
      <name val="Times New Roman"/>
      <family val="1"/>
      <charset val="1"/>
    </font>
    <font>
      <b val="true"/>
      <sz val="12"/>
      <name val="Times New Roman"/>
      <family val="1"/>
      <charset val="1"/>
    </font>
  </fonts>
  <fills count="9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theme="0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333333"/>
        <bgColor rgb="FF333300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medium"/>
      <top style="medium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3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5" fillId="3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5" fillId="3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4" borderId="1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4" borderId="10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4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5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5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4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6" borderId="5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6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6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6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1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4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5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2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7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2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3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Sheet1" xfId="20"/>
  </cellStyles>
  <dxfs count="8">
    <dxf>
      <fill>
        <patternFill patternType="solid">
          <fgColor rgb="FFC0C0C0"/>
          <bgColor rgb="FF000000"/>
        </patternFill>
      </fill>
    </dxf>
    <dxf>
      <fill>
        <patternFill patternType="solid">
          <fgColor rgb="FFCCFF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333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P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7" activeCellId="0" sqref="K17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10.33"/>
    <col collapsed="false" customWidth="true" hidden="false" outlineLevel="0" max="2" min="2" style="0" width="39"/>
    <col collapsed="false" customWidth="true" hidden="false" outlineLevel="0" max="3" min="3" style="0" width="5.56"/>
    <col collapsed="false" customWidth="true" hidden="false" outlineLevel="0" max="4" min="4" style="0" width="6.44"/>
    <col collapsed="false" customWidth="true" hidden="false" outlineLevel="0" max="5" min="5" style="0" width="7.88"/>
    <col collapsed="false" customWidth="true" hidden="false" outlineLevel="0" max="6" min="6" style="0" width="6.67"/>
    <col collapsed="false" customWidth="true" hidden="false" outlineLevel="0" max="7" min="7" style="0" width="9.67"/>
    <col collapsed="false" customWidth="true" hidden="false" outlineLevel="0" max="8" min="8" style="0" width="13.11"/>
    <col collapsed="false" customWidth="true" hidden="false" outlineLevel="0" max="9" min="9" style="0" width="9"/>
    <col collapsed="false" customWidth="true" hidden="false" outlineLevel="0" max="10" min="10" style="0" width="6.88"/>
    <col collapsed="false" customWidth="true" hidden="false" outlineLevel="0" max="11" min="11" style="0" width="10.66"/>
  </cols>
  <sheetData>
    <row r="1" customFormat="false" ht="14.2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4.25" hidden="false" customHeight="true" outlineLevel="0" collapsed="false">
      <c r="A2" s="2" t="s">
        <v>1</v>
      </c>
      <c r="B2" s="3" t="s">
        <v>2</v>
      </c>
      <c r="C2" s="3"/>
      <c r="D2" s="3"/>
      <c r="E2" s="3"/>
      <c r="F2" s="3"/>
      <c r="G2" s="3"/>
    </row>
    <row r="3" customFormat="false" ht="14.25" hidden="false" customHeight="true" outlineLevel="0" collapsed="false">
      <c r="A3" s="4" t="s">
        <v>3</v>
      </c>
      <c r="B3" s="5" t="s">
        <v>4</v>
      </c>
      <c r="C3" s="5"/>
      <c r="D3" s="5"/>
      <c r="E3" s="5"/>
      <c r="F3" s="5"/>
      <c r="G3" s="5"/>
    </row>
    <row r="4" customFormat="false" ht="14.25" hidden="false" customHeight="true" outlineLevel="0" collapsed="false">
      <c r="A4" s="4" t="s">
        <v>5</v>
      </c>
      <c r="B4" s="6" t="s">
        <v>4</v>
      </c>
      <c r="C4" s="6"/>
      <c r="D4" s="6"/>
      <c r="E4" s="6"/>
      <c r="F4" s="6"/>
      <c r="G4" s="6"/>
    </row>
    <row r="5" customFormat="false" ht="14.25" hidden="false" customHeight="false" outlineLevel="0" collapsed="false">
      <c r="A5" s="4" t="s">
        <v>6</v>
      </c>
      <c r="B5" s="6" t="s">
        <v>7</v>
      </c>
      <c r="C5" s="6"/>
      <c r="D5" s="6"/>
      <c r="E5" s="6"/>
      <c r="F5" s="6"/>
      <c r="G5" s="6"/>
    </row>
    <row r="6" customFormat="false" ht="14.25" hidden="false" customHeight="false" outlineLevel="0" collapsed="false">
      <c r="A6" s="7" t="s">
        <v>8</v>
      </c>
      <c r="B6" s="8" t="s">
        <v>9</v>
      </c>
      <c r="C6" s="8"/>
      <c r="D6" s="8"/>
      <c r="E6" s="9" t="s">
        <v>10</v>
      </c>
      <c r="F6" s="10" t="s">
        <v>11</v>
      </c>
      <c r="G6" s="9" t="s">
        <v>12</v>
      </c>
    </row>
    <row r="7" customFormat="false" ht="14.25" hidden="false" customHeight="false" outlineLevel="0" collapsed="false">
      <c r="A7" s="11" t="s">
        <v>13</v>
      </c>
      <c r="B7" s="12" t="s">
        <v>14</v>
      </c>
      <c r="C7" s="12" t="s">
        <v>15</v>
      </c>
      <c r="D7" s="12" t="s">
        <v>16</v>
      </c>
      <c r="E7" s="12" t="s">
        <v>17</v>
      </c>
      <c r="F7" s="12" t="s">
        <v>18</v>
      </c>
      <c r="G7" s="12" t="s">
        <v>19</v>
      </c>
    </row>
    <row r="8" customFormat="false" ht="14.25" hidden="true" customHeight="false" outlineLevel="0" collapsed="false">
      <c r="A8" s="13" t="s">
        <v>20</v>
      </c>
      <c r="B8" s="14" t="s">
        <v>21</v>
      </c>
      <c r="C8" s="15" t="n">
        <v>0</v>
      </c>
      <c r="D8" s="16" t="n">
        <v>270</v>
      </c>
      <c r="E8" s="17" t="n">
        <f aca="false">C8*D8</f>
        <v>0</v>
      </c>
      <c r="F8" s="18" t="n">
        <f aca="false">$F$96</f>
        <v>0</v>
      </c>
      <c r="G8" s="14" t="n">
        <f aca="false">E8*(1-F8)</f>
        <v>0</v>
      </c>
    </row>
    <row r="9" customFormat="false" ht="14.25" hidden="true" customHeight="false" outlineLevel="0" collapsed="false">
      <c r="A9" s="13" t="n">
        <v>30202032</v>
      </c>
      <c r="B9" s="14" t="s">
        <v>22</v>
      </c>
      <c r="C9" s="15" t="n">
        <v>0</v>
      </c>
      <c r="D9" s="17" t="n">
        <v>12.5</v>
      </c>
      <c r="E9" s="17" t="n">
        <f aca="false">C9*D9</f>
        <v>0</v>
      </c>
      <c r="F9" s="18" t="n">
        <f aca="false">$F$96</f>
        <v>0</v>
      </c>
      <c r="G9" s="14" t="n">
        <f aca="false">E9*(1-F9)</f>
        <v>0</v>
      </c>
      <c r="H9" s="19"/>
      <c r="I9" s="20"/>
      <c r="J9" s="20"/>
      <c r="K9" s="20"/>
    </row>
    <row r="10" customFormat="false" ht="14.25" hidden="true" customHeight="false" outlineLevel="0" collapsed="false">
      <c r="A10" s="13" t="s">
        <v>23</v>
      </c>
      <c r="B10" s="14" t="s">
        <v>24</v>
      </c>
      <c r="C10" s="15"/>
      <c r="D10" s="16" t="n">
        <v>200</v>
      </c>
      <c r="E10" s="17" t="n">
        <f aca="false">C10*D10</f>
        <v>0</v>
      </c>
      <c r="F10" s="18" t="n">
        <f aca="false">$F$96</f>
        <v>0</v>
      </c>
      <c r="G10" s="14" t="n">
        <f aca="false">E10*(1-F10)</f>
        <v>0</v>
      </c>
    </row>
    <row r="11" customFormat="false" ht="14.25" hidden="true" customHeight="false" outlineLevel="0" collapsed="false">
      <c r="A11" s="13" t="s">
        <v>25</v>
      </c>
      <c r="B11" s="14" t="s">
        <v>26</v>
      </c>
      <c r="C11" s="15"/>
      <c r="D11" s="17" t="n">
        <v>62.34</v>
      </c>
      <c r="E11" s="17" t="n">
        <f aca="false">C11*D11</f>
        <v>0</v>
      </c>
      <c r="F11" s="18" t="n">
        <f aca="false">$F$96</f>
        <v>0</v>
      </c>
      <c r="G11" s="14" t="n">
        <f aca="false">E11*(1-F11)</f>
        <v>0</v>
      </c>
      <c r="H11" s="21" t="s">
        <v>27</v>
      </c>
      <c r="I11" s="22" t="n">
        <v>160</v>
      </c>
      <c r="J11" s="22" t="n">
        <v>160</v>
      </c>
      <c r="K11" s="22" t="n">
        <v>160</v>
      </c>
    </row>
    <row r="12" customFormat="false" ht="14.25" hidden="true" customHeight="false" outlineLevel="0" collapsed="false">
      <c r="A12" s="13" t="s">
        <v>28</v>
      </c>
      <c r="B12" s="14" t="s">
        <v>29</v>
      </c>
      <c r="C12" s="15"/>
      <c r="D12" s="17" t="n">
        <v>10</v>
      </c>
      <c r="E12" s="17" t="n">
        <f aca="false">C12*D12</f>
        <v>0</v>
      </c>
      <c r="F12" s="18" t="n">
        <f aca="false">$F$96</f>
        <v>0</v>
      </c>
      <c r="G12" s="14" t="n">
        <f aca="false">E12*(1-F12)</f>
        <v>0</v>
      </c>
      <c r="H12" s="23" t="s">
        <v>30</v>
      </c>
      <c r="I12" s="22" t="n">
        <v>180</v>
      </c>
      <c r="J12" s="22" t="n">
        <v>180</v>
      </c>
      <c r="K12" s="22" t="n">
        <v>180</v>
      </c>
    </row>
    <row r="13" customFormat="false" ht="14.25" hidden="true" customHeight="false" outlineLevel="0" collapsed="false">
      <c r="A13" s="13" t="n">
        <v>30202042</v>
      </c>
      <c r="B13" s="14" t="s">
        <v>31</v>
      </c>
      <c r="C13" s="15"/>
      <c r="D13" s="16" t="n">
        <v>10</v>
      </c>
      <c r="E13" s="17" t="n">
        <f aca="false">C13*D13</f>
        <v>0</v>
      </c>
      <c r="F13" s="18" t="n">
        <f aca="false">$F$96</f>
        <v>0</v>
      </c>
      <c r="G13" s="14" t="n">
        <f aca="false">E13*(1-F13)</f>
        <v>0</v>
      </c>
    </row>
    <row r="14" customFormat="false" ht="14.25" hidden="true" customHeight="false" outlineLevel="0" collapsed="false">
      <c r="A14" s="13" t="n">
        <v>30202001</v>
      </c>
      <c r="B14" s="14" t="s">
        <v>32</v>
      </c>
      <c r="C14" s="15"/>
      <c r="D14" s="17" t="n">
        <v>80</v>
      </c>
      <c r="E14" s="17" t="n">
        <f aca="false">C14*D14</f>
        <v>0</v>
      </c>
      <c r="F14" s="18" t="n">
        <f aca="false">$F$96</f>
        <v>0</v>
      </c>
      <c r="G14" s="14" t="n">
        <f aca="false">E14*(1-F14)</f>
        <v>0</v>
      </c>
      <c r="H14" s="24" t="s">
        <v>33</v>
      </c>
      <c r="I14" s="25" t="n">
        <v>230</v>
      </c>
      <c r="J14" s="25" t="n">
        <v>230</v>
      </c>
      <c r="K14" s="25" t="n">
        <v>200</v>
      </c>
    </row>
    <row r="15" customFormat="false" ht="14.25" hidden="true" customHeight="false" outlineLevel="0" collapsed="false">
      <c r="A15" s="13" t="s">
        <v>23</v>
      </c>
      <c r="B15" s="14" t="s">
        <v>24</v>
      </c>
      <c r="C15" s="15"/>
      <c r="D15" s="17" t="n">
        <v>200</v>
      </c>
      <c r="E15" s="17" t="n">
        <f aca="false">C15*D15</f>
        <v>0</v>
      </c>
      <c r="F15" s="18" t="n">
        <v>1</v>
      </c>
      <c r="G15" s="14" t="n">
        <f aca="false">E15*(1-F15)</f>
        <v>0</v>
      </c>
      <c r="H15" s="26" t="s">
        <v>34</v>
      </c>
      <c r="I15" s="26" t="n">
        <v>15</v>
      </c>
    </row>
    <row r="16" customFormat="false" ht="14.25" hidden="false" customHeight="false" outlineLevel="0" collapsed="false">
      <c r="A16" s="13" t="s">
        <v>35</v>
      </c>
      <c r="B16" s="14" t="s">
        <v>36</v>
      </c>
      <c r="C16" s="15" t="n">
        <v>1</v>
      </c>
      <c r="D16" s="16" t="n">
        <v>35</v>
      </c>
      <c r="E16" s="17" t="n">
        <f aca="false">C16*D16</f>
        <v>35</v>
      </c>
      <c r="F16" s="18" t="n">
        <f aca="false">$F$96</f>
        <v>0</v>
      </c>
      <c r="G16" s="14" t="n">
        <f aca="false">E16*(1-F16)</f>
        <v>35</v>
      </c>
    </row>
    <row r="17" customFormat="false" ht="14.25" hidden="false" customHeight="false" outlineLevel="0" collapsed="false">
      <c r="A17" s="13" t="s">
        <v>37</v>
      </c>
      <c r="B17" s="14" t="s">
        <v>38</v>
      </c>
      <c r="C17" s="15" t="n">
        <v>1</v>
      </c>
      <c r="D17" s="16" t="n">
        <v>35</v>
      </c>
      <c r="E17" s="17" t="n">
        <f aca="false">C17*D17</f>
        <v>35</v>
      </c>
      <c r="F17" s="18" t="n">
        <f aca="false">$F$96</f>
        <v>0</v>
      </c>
      <c r="G17" s="14" t="n">
        <f aca="false">E17*(1-F17)</f>
        <v>35</v>
      </c>
    </row>
    <row r="18" customFormat="false" ht="14.25" hidden="false" customHeight="false" outlineLevel="0" collapsed="false">
      <c r="A18" s="27" t="n">
        <v>30202206</v>
      </c>
      <c r="B18" s="28" t="s">
        <v>39</v>
      </c>
      <c r="C18" s="29" t="n">
        <v>1</v>
      </c>
      <c r="D18" s="30" t="n">
        <v>150</v>
      </c>
      <c r="E18" s="30" t="n">
        <f aca="false">C18*D18</f>
        <v>150</v>
      </c>
      <c r="F18" s="31" t="n">
        <f aca="false">$F$96</f>
        <v>0</v>
      </c>
      <c r="G18" s="28" t="n">
        <f aca="false">E18*(1-F18)</f>
        <v>150</v>
      </c>
    </row>
    <row r="19" customFormat="false" ht="14.25" hidden="true" customHeight="false" outlineLevel="0" collapsed="false">
      <c r="A19" s="27" t="n">
        <v>30202201</v>
      </c>
      <c r="B19" s="28" t="s">
        <v>40</v>
      </c>
      <c r="C19" s="29" t="n">
        <v>0</v>
      </c>
      <c r="D19" s="30" t="n">
        <v>80</v>
      </c>
      <c r="E19" s="30" t="n">
        <f aca="false">C19*D19</f>
        <v>0</v>
      </c>
      <c r="F19" s="31" t="n">
        <f aca="false">$F$96</f>
        <v>0</v>
      </c>
      <c r="G19" s="28" t="n">
        <f aca="false">E19*(1-F19)</f>
        <v>0</v>
      </c>
    </row>
    <row r="20" customFormat="false" ht="14.25" hidden="true" customHeight="false" outlineLevel="0" collapsed="false">
      <c r="A20" s="27" t="s">
        <v>41</v>
      </c>
      <c r="B20" s="28" t="s">
        <v>42</v>
      </c>
      <c r="C20" s="29" t="n">
        <v>0</v>
      </c>
      <c r="D20" s="30" t="n">
        <v>70</v>
      </c>
      <c r="E20" s="30" t="n">
        <f aca="false">C20*D20</f>
        <v>0</v>
      </c>
      <c r="F20" s="31" t="n">
        <f aca="false">$F$96</f>
        <v>0</v>
      </c>
      <c r="G20" s="28" t="n">
        <f aca="false">E20*(1-F20)</f>
        <v>0</v>
      </c>
    </row>
    <row r="21" customFormat="false" ht="14.25" hidden="true" customHeight="false" outlineLevel="0" collapsed="false">
      <c r="A21" s="13" t="s">
        <v>43</v>
      </c>
      <c r="B21" s="14" t="s">
        <v>44</v>
      </c>
      <c r="C21" s="15"/>
      <c r="D21" s="16" t="n">
        <v>35</v>
      </c>
      <c r="E21" s="17" t="n">
        <f aca="false">C21*D21</f>
        <v>0</v>
      </c>
      <c r="F21" s="18" t="n">
        <f aca="false">$F$96</f>
        <v>0</v>
      </c>
      <c r="G21" s="14" t="n">
        <f aca="false">E21*(1-F21)</f>
        <v>0</v>
      </c>
    </row>
    <row r="22" customFormat="false" ht="14.25" hidden="true" customHeight="false" outlineLevel="0" collapsed="false">
      <c r="A22" s="13" t="s">
        <v>45</v>
      </c>
      <c r="B22" s="14" t="s">
        <v>46</v>
      </c>
      <c r="C22" s="15"/>
      <c r="D22" s="16" t="n">
        <v>20</v>
      </c>
      <c r="E22" s="17" t="n">
        <f aca="false">C22*D22</f>
        <v>0</v>
      </c>
      <c r="F22" s="18" t="n">
        <f aca="false">$F$96</f>
        <v>0</v>
      </c>
      <c r="G22" s="14" t="n">
        <f aca="false">E22*(1-F22)</f>
        <v>0</v>
      </c>
      <c r="I22" s="32"/>
    </row>
    <row r="23" customFormat="false" ht="14.25" hidden="true" customHeight="false" outlineLevel="0" collapsed="false">
      <c r="A23" s="13" t="s">
        <v>47</v>
      </c>
      <c r="B23" s="14" t="s">
        <v>48</v>
      </c>
      <c r="C23" s="15" t="n">
        <v>0</v>
      </c>
      <c r="D23" s="17" t="n">
        <v>50</v>
      </c>
      <c r="E23" s="17" t="n">
        <f aca="false">C23*D23</f>
        <v>0</v>
      </c>
      <c r="F23" s="18" t="n">
        <f aca="false">$F$96</f>
        <v>0</v>
      </c>
      <c r="G23" s="14" t="n">
        <f aca="false">E23*(1-F23)</f>
        <v>0</v>
      </c>
    </row>
    <row r="24" customFormat="false" ht="14.25" hidden="true" customHeight="false" outlineLevel="0" collapsed="false">
      <c r="A24" s="13" t="n">
        <v>22310019</v>
      </c>
      <c r="B24" s="14" t="s">
        <v>49</v>
      </c>
      <c r="C24" s="15"/>
      <c r="D24" s="16" t="n">
        <v>13.5</v>
      </c>
      <c r="E24" s="17" t="n">
        <f aca="false">C24*D24</f>
        <v>0</v>
      </c>
      <c r="F24" s="18" t="n">
        <f aca="false">$F$96</f>
        <v>0</v>
      </c>
      <c r="G24" s="14" t="n">
        <f aca="false">E24*(1-F24)</f>
        <v>0</v>
      </c>
      <c r="I24" s="32"/>
    </row>
    <row r="25" customFormat="false" ht="14.25" hidden="true" customHeight="false" outlineLevel="0" collapsed="false">
      <c r="A25" s="13" t="n">
        <v>30410117</v>
      </c>
      <c r="B25" s="14" t="s">
        <v>31</v>
      </c>
      <c r="C25" s="15" t="n">
        <v>0</v>
      </c>
      <c r="D25" s="17" t="n">
        <v>10</v>
      </c>
      <c r="E25" s="17" t="n">
        <f aca="false">C25*D25</f>
        <v>0</v>
      </c>
      <c r="F25" s="18" t="n">
        <f aca="false">$F$96</f>
        <v>0</v>
      </c>
      <c r="G25" s="14" t="n">
        <f aca="false">E25*(1-F25)</f>
        <v>0</v>
      </c>
    </row>
    <row r="26" customFormat="false" ht="14.25" hidden="true" customHeight="false" outlineLevel="0" collapsed="false">
      <c r="A26" s="27" t="s">
        <v>50</v>
      </c>
      <c r="B26" s="28" t="s">
        <v>51</v>
      </c>
      <c r="C26" s="29" t="n">
        <v>0</v>
      </c>
      <c r="D26" s="30" t="n">
        <v>20</v>
      </c>
      <c r="E26" s="30" t="n">
        <f aca="false">C26*D26</f>
        <v>0</v>
      </c>
      <c r="F26" s="31" t="n">
        <f aca="false">$F$96</f>
        <v>0</v>
      </c>
      <c r="G26" s="28" t="n">
        <f aca="false">E26*(1-F26)</f>
        <v>0</v>
      </c>
      <c r="I26" s="32"/>
    </row>
    <row r="27" customFormat="false" ht="14.25" hidden="true" customHeight="false" outlineLevel="0" collapsed="false">
      <c r="A27" s="13" t="n">
        <v>20602034</v>
      </c>
      <c r="B27" s="14" t="s">
        <v>52</v>
      </c>
      <c r="C27" s="15"/>
      <c r="D27" s="17" t="n">
        <v>110</v>
      </c>
      <c r="E27" s="17" t="n">
        <f aca="false">C27*D27</f>
        <v>0</v>
      </c>
      <c r="F27" s="18" t="n">
        <f aca="false">$F$96</f>
        <v>0</v>
      </c>
      <c r="G27" s="14" t="n">
        <f aca="false">E27*(1-F27)</f>
        <v>0</v>
      </c>
    </row>
    <row r="28" customFormat="false" ht="14.25" hidden="true" customHeight="false" outlineLevel="0" collapsed="false">
      <c r="A28" s="13" t="s">
        <v>53</v>
      </c>
      <c r="B28" s="14" t="s">
        <v>54</v>
      </c>
      <c r="C28" s="15"/>
      <c r="D28" s="17" t="n">
        <v>600</v>
      </c>
      <c r="E28" s="17" t="n">
        <f aca="false">C28*D28</f>
        <v>0</v>
      </c>
      <c r="F28" s="18" t="n">
        <f aca="false">$F$96</f>
        <v>0</v>
      </c>
      <c r="G28" s="14" t="n">
        <f aca="false">E28*(1-F28)</f>
        <v>0</v>
      </c>
    </row>
    <row r="29" customFormat="false" ht="14.25" hidden="true" customHeight="false" outlineLevel="0" collapsed="false">
      <c r="A29" s="13" t="s">
        <v>55</v>
      </c>
      <c r="B29" s="14" t="s">
        <v>56</v>
      </c>
      <c r="C29" s="15"/>
      <c r="D29" s="16" t="n">
        <v>140</v>
      </c>
      <c r="E29" s="17" t="n">
        <f aca="false">C29*D29</f>
        <v>0</v>
      </c>
      <c r="F29" s="18" t="n">
        <f aca="false">$F$96</f>
        <v>0</v>
      </c>
      <c r="G29" s="14" t="n">
        <f aca="false">E29*(1-F29)</f>
        <v>0</v>
      </c>
      <c r="I29" s="32"/>
    </row>
    <row r="30" customFormat="false" ht="14.25" hidden="true" customHeight="false" outlineLevel="0" collapsed="false">
      <c r="A30" s="13" t="n">
        <v>30410007</v>
      </c>
      <c r="B30" s="14" t="s">
        <v>57</v>
      </c>
      <c r="C30" s="15"/>
      <c r="D30" s="16" t="n">
        <v>140</v>
      </c>
      <c r="E30" s="17" t="n">
        <f aca="false">C30*D30</f>
        <v>0</v>
      </c>
      <c r="F30" s="18" t="n">
        <f aca="false">$F$96</f>
        <v>0</v>
      </c>
      <c r="G30" s="14" t="n">
        <f aca="false">E30*(1-F30)</f>
        <v>0</v>
      </c>
      <c r="I30" s="32"/>
    </row>
    <row r="31" customFormat="false" ht="14.25" hidden="false" customHeight="false" outlineLevel="0" collapsed="false">
      <c r="A31" s="13" t="s">
        <v>58</v>
      </c>
      <c r="B31" s="14" t="s">
        <v>59</v>
      </c>
      <c r="C31" s="15" t="n">
        <v>4</v>
      </c>
      <c r="D31" s="16" t="n">
        <v>39.2</v>
      </c>
      <c r="E31" s="17" t="n">
        <f aca="false">C31*D31</f>
        <v>156.8</v>
      </c>
      <c r="F31" s="18" t="n">
        <f aca="false">$F$96</f>
        <v>0</v>
      </c>
      <c r="G31" s="14" t="n">
        <f aca="false">E31*(1-F31)</f>
        <v>156.8</v>
      </c>
      <c r="I31" s="32"/>
    </row>
    <row r="32" customFormat="false" ht="14.25" hidden="false" customHeight="false" outlineLevel="0" collapsed="false">
      <c r="A32" s="13" t="s">
        <v>60</v>
      </c>
      <c r="B32" s="14" t="s">
        <v>61</v>
      </c>
      <c r="C32" s="15" t="n">
        <v>6</v>
      </c>
      <c r="D32" s="16" t="n">
        <v>13.8</v>
      </c>
      <c r="E32" s="17" t="n">
        <f aca="false">C32*D32</f>
        <v>82.8</v>
      </c>
      <c r="F32" s="18" t="n">
        <f aca="false">$F$96</f>
        <v>0</v>
      </c>
      <c r="G32" s="14" t="n">
        <f aca="false">E32*(1-F32)</f>
        <v>82.8</v>
      </c>
      <c r="I32" s="32"/>
    </row>
    <row r="33" customFormat="false" ht="14.25" hidden="false" customHeight="false" outlineLevel="0" collapsed="false">
      <c r="A33" s="13" t="s">
        <v>62</v>
      </c>
      <c r="B33" s="14" t="s">
        <v>63</v>
      </c>
      <c r="C33" s="15" t="n">
        <v>2</v>
      </c>
      <c r="D33" s="16" t="n">
        <v>39.2</v>
      </c>
      <c r="E33" s="17" t="n">
        <f aca="false">C33*D33</f>
        <v>78.4</v>
      </c>
      <c r="F33" s="18" t="n">
        <f aca="false">$F$96</f>
        <v>0</v>
      </c>
      <c r="G33" s="14" t="n">
        <f aca="false">E33*(1-F33)</f>
        <v>78.4</v>
      </c>
      <c r="I33" s="32"/>
    </row>
    <row r="34" customFormat="false" ht="14.25" hidden="false" customHeight="false" outlineLevel="0" collapsed="false">
      <c r="A34" s="13" t="n">
        <v>20903168</v>
      </c>
      <c r="B34" s="14" t="s">
        <v>64</v>
      </c>
      <c r="C34" s="15" t="n">
        <v>4</v>
      </c>
      <c r="D34" s="16" t="n">
        <v>2.5</v>
      </c>
      <c r="E34" s="17" t="n">
        <f aca="false">C34*D34</f>
        <v>10</v>
      </c>
      <c r="F34" s="18" t="n">
        <f aca="false">$F$96</f>
        <v>0</v>
      </c>
      <c r="G34" s="14" t="n">
        <f aca="false">E34*(1-F34)</f>
        <v>10</v>
      </c>
      <c r="I34" s="32"/>
    </row>
    <row r="35" customFormat="false" ht="14.25" hidden="true" customHeight="false" outlineLevel="0" collapsed="false">
      <c r="A35" s="13" t="n">
        <v>30202201</v>
      </c>
      <c r="B35" s="14" t="s">
        <v>65</v>
      </c>
      <c r="C35" s="15" t="n">
        <v>0</v>
      </c>
      <c r="D35" s="17" t="n">
        <v>10</v>
      </c>
      <c r="E35" s="17" t="n">
        <f aca="false">C35*D35</f>
        <v>0</v>
      </c>
      <c r="F35" s="18" t="n">
        <f aca="false">$F$96</f>
        <v>0</v>
      </c>
      <c r="G35" s="14" t="n">
        <f aca="false">E35*(1-F35)</f>
        <v>0</v>
      </c>
      <c r="H35" s="33"/>
      <c r="I35" s="26" t="n">
        <f aca="false">C37*H35</f>
        <v>0</v>
      </c>
    </row>
    <row r="36" customFormat="false" ht="14.25" hidden="true" customHeight="false" outlineLevel="0" collapsed="false">
      <c r="A36" s="13" t="s">
        <v>66</v>
      </c>
      <c r="B36" s="14" t="s">
        <v>67</v>
      </c>
      <c r="C36" s="15"/>
      <c r="D36" s="16" t="n">
        <v>35</v>
      </c>
      <c r="E36" s="17" t="n">
        <f aca="false">C36*D36</f>
        <v>0</v>
      </c>
      <c r="F36" s="18" t="n">
        <f aca="false">$F$96</f>
        <v>0</v>
      </c>
      <c r="G36" s="14" t="n">
        <f aca="false">E36*(1-F36)</f>
        <v>0</v>
      </c>
      <c r="I36" s="32"/>
    </row>
    <row r="37" customFormat="false" ht="14.25" hidden="true" customHeight="false" outlineLevel="0" collapsed="false">
      <c r="A37" s="13" t="n">
        <v>30202202</v>
      </c>
      <c r="B37" s="14" t="s">
        <v>68</v>
      </c>
      <c r="C37" s="15" t="n">
        <v>0</v>
      </c>
      <c r="D37" s="17" t="n">
        <v>10</v>
      </c>
      <c r="E37" s="17" t="n">
        <f aca="false">C37*D37</f>
        <v>0</v>
      </c>
      <c r="F37" s="18" t="n">
        <f aca="false">$F$96</f>
        <v>0</v>
      </c>
      <c r="G37" s="14" t="n">
        <f aca="false">E37*(1-F37)</f>
        <v>0</v>
      </c>
      <c r="H37" s="34" t="n">
        <v>30.78</v>
      </c>
      <c r="I37" s="26" t="n">
        <f aca="false">C39*H37</f>
        <v>0</v>
      </c>
    </row>
    <row r="38" customFormat="false" ht="14.25" hidden="true" customHeight="false" outlineLevel="0" collapsed="false">
      <c r="A38" s="13" t="n">
        <v>30410046</v>
      </c>
      <c r="B38" s="14" t="s">
        <v>69</v>
      </c>
      <c r="C38" s="15" t="n">
        <v>0</v>
      </c>
      <c r="D38" s="17" t="n">
        <v>52</v>
      </c>
      <c r="E38" s="17" t="n">
        <f aca="false">C38*D38</f>
        <v>0</v>
      </c>
      <c r="F38" s="18" t="n">
        <f aca="false">$F$96</f>
        <v>0</v>
      </c>
      <c r="G38" s="14" t="n">
        <f aca="false">E38*(1-F38)</f>
        <v>0</v>
      </c>
      <c r="H38" s="34" t="n">
        <v>55.675</v>
      </c>
      <c r="I38" s="26" t="n">
        <f aca="false">C40*H38</f>
        <v>0</v>
      </c>
    </row>
    <row r="39" customFormat="false" ht="14.25" hidden="true" customHeight="false" outlineLevel="0" collapsed="false">
      <c r="A39" s="13" t="s">
        <v>70</v>
      </c>
      <c r="B39" s="14" t="s">
        <v>71</v>
      </c>
      <c r="C39" s="15"/>
      <c r="D39" s="17" t="n">
        <v>55</v>
      </c>
      <c r="E39" s="17" t="n">
        <f aca="false">C39*D39</f>
        <v>0</v>
      </c>
      <c r="F39" s="18" t="n">
        <f aca="false">$F$96</f>
        <v>0</v>
      </c>
      <c r="G39" s="14" t="n">
        <f aca="false">E39*(1-F39)</f>
        <v>0</v>
      </c>
      <c r="H39" s="34" t="n">
        <v>73.581</v>
      </c>
      <c r="I39" s="26" t="n">
        <f aca="false">C41*H39</f>
        <v>0</v>
      </c>
    </row>
    <row r="40" customFormat="false" ht="14.25" hidden="true" customHeight="false" outlineLevel="0" collapsed="false">
      <c r="A40" s="13" t="n">
        <v>30202199</v>
      </c>
      <c r="B40" s="14" t="s">
        <v>72</v>
      </c>
      <c r="C40" s="15"/>
      <c r="D40" s="16" t="n">
        <v>12</v>
      </c>
      <c r="E40" s="17" t="n">
        <f aca="false">C40*D40</f>
        <v>0</v>
      </c>
      <c r="F40" s="18" t="n">
        <f aca="false">$F$96</f>
        <v>0</v>
      </c>
      <c r="G40" s="14" t="n">
        <f aca="false">E40*(1-F40)</f>
        <v>0</v>
      </c>
      <c r="I40" s="32"/>
    </row>
    <row r="41" customFormat="false" ht="14.25" hidden="true" customHeight="false" outlineLevel="0" collapsed="false">
      <c r="A41" s="13" t="n">
        <v>30430007</v>
      </c>
      <c r="B41" s="14" t="s">
        <v>73</v>
      </c>
      <c r="C41" s="15"/>
      <c r="D41" s="17" t="n">
        <v>130</v>
      </c>
      <c r="E41" s="17" t="n">
        <f aca="false">C41*D41</f>
        <v>0</v>
      </c>
      <c r="F41" s="18" t="n">
        <f aca="false">$F$96</f>
        <v>0</v>
      </c>
      <c r="G41" s="14" t="n">
        <f aca="false">E41*(1-F41)</f>
        <v>0</v>
      </c>
      <c r="H41" s="34" t="n">
        <v>90.804</v>
      </c>
      <c r="I41" s="26" t="n">
        <f aca="false">C43*H41</f>
        <v>0</v>
      </c>
    </row>
    <row r="42" customFormat="false" ht="14.25" hidden="true" customHeight="false" outlineLevel="0" collapsed="false">
      <c r="A42" s="13" t="n">
        <v>30202205</v>
      </c>
      <c r="B42" s="14" t="s">
        <v>74</v>
      </c>
      <c r="C42" s="15"/>
      <c r="D42" s="17" t="n">
        <v>175</v>
      </c>
      <c r="E42" s="17" t="n">
        <f aca="false">C42*D42</f>
        <v>0</v>
      </c>
      <c r="F42" s="18" t="n">
        <f aca="false">$F$96</f>
        <v>0</v>
      </c>
      <c r="G42" s="14" t="n">
        <f aca="false">E42*(1-F42)</f>
        <v>0</v>
      </c>
      <c r="H42" s="34" t="n">
        <v>0.01</v>
      </c>
      <c r="I42" s="26" t="n">
        <f aca="false">C44*H42</f>
        <v>0</v>
      </c>
    </row>
    <row r="43" customFormat="false" ht="14.25" hidden="true" customHeight="false" outlineLevel="0" collapsed="false">
      <c r="A43" s="13" t="s">
        <v>75</v>
      </c>
      <c r="B43" s="14" t="s">
        <v>76</v>
      </c>
      <c r="C43" s="15"/>
      <c r="D43" s="17" t="n">
        <v>120</v>
      </c>
      <c r="E43" s="17" t="n">
        <f aca="false">C43*D43</f>
        <v>0</v>
      </c>
      <c r="F43" s="18" t="n">
        <f aca="false">$F$96</f>
        <v>0</v>
      </c>
      <c r="G43" s="14" t="n">
        <f aca="false">E43*(1-F43)</f>
        <v>0</v>
      </c>
      <c r="H43" s="34" t="n">
        <v>91.653</v>
      </c>
      <c r="I43" s="26" t="n">
        <f aca="false">C45*H43</f>
        <v>0</v>
      </c>
    </row>
    <row r="44" customFormat="false" ht="14.25" hidden="true" customHeight="false" outlineLevel="0" collapsed="false">
      <c r="A44" s="13" t="n">
        <v>30202203</v>
      </c>
      <c r="B44" s="14" t="s">
        <v>77</v>
      </c>
      <c r="C44" s="15"/>
      <c r="D44" s="16" t="n">
        <v>15</v>
      </c>
      <c r="E44" s="17" t="n">
        <f aca="false">C44*D44</f>
        <v>0</v>
      </c>
      <c r="F44" s="18" t="n">
        <f aca="false">$F$96</f>
        <v>0</v>
      </c>
      <c r="G44" s="14" t="n">
        <f aca="false">E44*(1-F44)</f>
        <v>0</v>
      </c>
      <c r="I44" s="32"/>
    </row>
    <row r="45" customFormat="false" ht="14.25" hidden="true" customHeight="false" outlineLevel="0" collapsed="false">
      <c r="A45" s="13" t="n">
        <v>30202207</v>
      </c>
      <c r="B45" s="14" t="s">
        <v>78</v>
      </c>
      <c r="C45" s="15"/>
      <c r="D45" s="16" t="n">
        <v>80</v>
      </c>
      <c r="E45" s="17" t="n">
        <f aca="false">C45*D45</f>
        <v>0</v>
      </c>
      <c r="F45" s="18" t="n">
        <f aca="false">$F$96</f>
        <v>0</v>
      </c>
      <c r="G45" s="14" t="n">
        <f aca="false">E45*(1-F45)</f>
        <v>0</v>
      </c>
      <c r="I45" s="32"/>
    </row>
    <row r="46" customFormat="false" ht="14.25" hidden="true" customHeight="false" outlineLevel="0" collapsed="false">
      <c r="A46" s="13" t="s">
        <v>79</v>
      </c>
      <c r="B46" s="14" t="s">
        <v>80</v>
      </c>
      <c r="C46" s="15"/>
      <c r="D46" s="17" t="n">
        <v>4</v>
      </c>
      <c r="E46" s="17" t="n">
        <f aca="false">C46*D46</f>
        <v>0</v>
      </c>
      <c r="F46" s="18" t="n">
        <f aca="false">$F$96</f>
        <v>0</v>
      </c>
      <c r="G46" s="14" t="n">
        <f aca="false">E46*(1-F46)</f>
        <v>0</v>
      </c>
      <c r="H46" s="34" t="n">
        <v>5.368</v>
      </c>
      <c r="I46" s="26" t="n">
        <f aca="false">C48*H46</f>
        <v>5.368</v>
      </c>
    </row>
    <row r="47" customFormat="false" ht="14.25" hidden="true" customHeight="false" outlineLevel="0" collapsed="false">
      <c r="A47" s="13" t="s">
        <v>81</v>
      </c>
      <c r="B47" s="14" t="s">
        <v>82</v>
      </c>
      <c r="C47" s="15"/>
      <c r="D47" s="17" t="n">
        <v>2</v>
      </c>
      <c r="E47" s="17" t="n">
        <f aca="false">C47*D47</f>
        <v>0</v>
      </c>
      <c r="F47" s="18" t="n">
        <f aca="false">$F$96</f>
        <v>0</v>
      </c>
      <c r="G47" s="14" t="n">
        <f aca="false">E47*(1-F47)</f>
        <v>0</v>
      </c>
      <c r="H47" s="34" t="n">
        <v>0</v>
      </c>
      <c r="I47" s="26" t="n">
        <f aca="false">C49*H47</f>
        <v>0</v>
      </c>
    </row>
    <row r="48" customFormat="false" ht="14.25" hidden="false" customHeight="false" outlineLevel="0" collapsed="false">
      <c r="A48" s="13" t="s">
        <v>83</v>
      </c>
      <c r="B48" s="14" t="s">
        <v>84</v>
      </c>
      <c r="C48" s="15" t="n">
        <v>1</v>
      </c>
      <c r="D48" s="16" t="n">
        <v>37.5</v>
      </c>
      <c r="E48" s="17" t="n">
        <f aca="false">C48*D48</f>
        <v>37.5</v>
      </c>
      <c r="F48" s="18" t="n">
        <f aca="false">$F$96</f>
        <v>0</v>
      </c>
      <c r="G48" s="14" t="n">
        <f aca="false">E48*(1-F48)</f>
        <v>37.5</v>
      </c>
      <c r="I48" s="32"/>
    </row>
    <row r="49" customFormat="false" ht="14.25" hidden="true" customHeight="false" outlineLevel="0" collapsed="false">
      <c r="A49" s="13" t="s">
        <v>85</v>
      </c>
      <c r="B49" s="14" t="s">
        <v>86</v>
      </c>
      <c r="C49" s="15" t="n">
        <v>0</v>
      </c>
      <c r="D49" s="17" t="n">
        <v>27.5</v>
      </c>
      <c r="E49" s="17" t="n">
        <f aca="false">C49*D49</f>
        <v>0</v>
      </c>
      <c r="F49" s="18" t="n">
        <f aca="false">$F$96</f>
        <v>0</v>
      </c>
      <c r="G49" s="14" t="n">
        <f aca="false">E49*(1-F49)</f>
        <v>0</v>
      </c>
      <c r="H49" s="34" t="n">
        <v>2.313</v>
      </c>
      <c r="I49" s="26" t="n">
        <f aca="false">C51*H49</f>
        <v>0</v>
      </c>
    </row>
    <row r="50" customFormat="false" ht="14.25" hidden="true" customHeight="false" outlineLevel="0" collapsed="false">
      <c r="A50" s="13" t="s">
        <v>87</v>
      </c>
      <c r="B50" s="14" t="s">
        <v>88</v>
      </c>
      <c r="C50" s="15" t="n">
        <v>0</v>
      </c>
      <c r="D50" s="17" t="n">
        <v>27.5</v>
      </c>
      <c r="E50" s="17" t="n">
        <f aca="false">C50*D50</f>
        <v>0</v>
      </c>
      <c r="F50" s="18" t="n">
        <f aca="false">$F$96</f>
        <v>0</v>
      </c>
      <c r="G50" s="14" t="n">
        <f aca="false">E50*(1-F50)</f>
        <v>0</v>
      </c>
      <c r="H50" s="34" t="n">
        <v>2.995</v>
      </c>
      <c r="I50" s="26" t="n">
        <f aca="false">C53*H50</f>
        <v>5.99</v>
      </c>
    </row>
    <row r="51" customFormat="false" ht="14.25" hidden="true" customHeight="false" outlineLevel="0" collapsed="false">
      <c r="A51" s="13" t="n">
        <v>30460003</v>
      </c>
      <c r="B51" s="14" t="s">
        <v>89</v>
      </c>
      <c r="C51" s="15" t="n">
        <v>0</v>
      </c>
      <c r="D51" s="17" t="n">
        <v>10</v>
      </c>
      <c r="E51" s="17" t="n">
        <f aca="false">C51*D51</f>
        <v>0</v>
      </c>
      <c r="F51" s="18" t="n">
        <f aca="false">$F$96</f>
        <v>0</v>
      </c>
      <c r="G51" s="14" t="n">
        <f aca="false">E51*(1-F51)</f>
        <v>0</v>
      </c>
      <c r="H51" s="34" t="n">
        <v>19.445</v>
      </c>
      <c r="I51" s="26" t="n">
        <f aca="false">C54*H51</f>
        <v>0</v>
      </c>
    </row>
    <row r="52" customFormat="false" ht="14.25" hidden="true" customHeight="false" outlineLevel="0" collapsed="false">
      <c r="A52" s="13" t="n">
        <v>30430005</v>
      </c>
      <c r="B52" s="14" t="s">
        <v>90</v>
      </c>
      <c r="C52" s="15" t="n">
        <v>0</v>
      </c>
      <c r="D52" s="17" t="n">
        <v>37.5</v>
      </c>
      <c r="E52" s="17" t="n">
        <f aca="false">C52*D52</f>
        <v>0</v>
      </c>
      <c r="F52" s="18" t="n">
        <f aca="false">$F$96</f>
        <v>0</v>
      </c>
      <c r="G52" s="14" t="n">
        <f aca="false">E52*(1-F52)</f>
        <v>0</v>
      </c>
      <c r="H52" s="34"/>
      <c r="I52" s="26"/>
    </row>
    <row r="53" customFormat="false" ht="14.25" hidden="false" customHeight="false" outlineLevel="0" collapsed="false">
      <c r="A53" s="13" t="s">
        <v>91</v>
      </c>
      <c r="B53" s="14" t="s">
        <v>92</v>
      </c>
      <c r="C53" s="15" t="n">
        <v>2</v>
      </c>
      <c r="D53" s="17" t="n">
        <v>19</v>
      </c>
      <c r="E53" s="17" t="n">
        <f aca="false">C53*D53</f>
        <v>38</v>
      </c>
      <c r="F53" s="18" t="n">
        <f aca="false">$F$96</f>
        <v>0</v>
      </c>
      <c r="G53" s="14" t="n">
        <f aca="false">E53*(1-F53)</f>
        <v>38</v>
      </c>
      <c r="H53" s="34" t="n">
        <v>8.759</v>
      </c>
      <c r="I53" s="26" t="n">
        <f aca="false">C55*H53</f>
        <v>0</v>
      </c>
      <c r="P53" s="0" t="n">
        <f aca="false">3*12</f>
        <v>36</v>
      </c>
    </row>
    <row r="54" customFormat="false" ht="14.25" hidden="true" customHeight="false" outlineLevel="0" collapsed="false">
      <c r="A54" s="13" t="s">
        <v>93</v>
      </c>
      <c r="B54" s="14" t="s">
        <v>94</v>
      </c>
      <c r="C54" s="15" t="n">
        <v>0</v>
      </c>
      <c r="D54" s="17" t="n">
        <v>75</v>
      </c>
      <c r="E54" s="17" t="n">
        <f aca="false">C54*D54</f>
        <v>0</v>
      </c>
      <c r="F54" s="18" t="n">
        <f aca="false">$F$96</f>
        <v>0</v>
      </c>
      <c r="G54" s="14" t="n">
        <f aca="false">E54*(1-F54)</f>
        <v>0</v>
      </c>
      <c r="H54" s="34" t="n">
        <v>33.942</v>
      </c>
      <c r="I54" s="26" t="n">
        <f aca="false">C56*H54</f>
        <v>0</v>
      </c>
    </row>
    <row r="55" customFormat="false" ht="14.25" hidden="true" customHeight="false" outlineLevel="0" collapsed="false">
      <c r="A55" s="13" t="s">
        <v>95</v>
      </c>
      <c r="B55" s="14" t="s">
        <v>96</v>
      </c>
      <c r="C55" s="15" t="n">
        <v>0</v>
      </c>
      <c r="D55" s="17" t="n">
        <v>50</v>
      </c>
      <c r="E55" s="17" t="n">
        <f aca="false">C55*D55</f>
        <v>0</v>
      </c>
      <c r="F55" s="18" t="n">
        <f aca="false">$F$96</f>
        <v>0</v>
      </c>
      <c r="G55" s="14" t="n">
        <f aca="false">E55*(1-F55)</f>
        <v>0</v>
      </c>
      <c r="H55" s="34" t="n">
        <v>0</v>
      </c>
      <c r="I55" s="26" t="n">
        <f aca="false">C57*H55</f>
        <v>0</v>
      </c>
    </row>
    <row r="56" customFormat="false" ht="14.25" hidden="true" customHeight="false" outlineLevel="0" collapsed="false">
      <c r="A56" s="13" t="s">
        <v>97</v>
      </c>
      <c r="B56" s="14" t="s">
        <v>98</v>
      </c>
      <c r="C56" s="15" t="n">
        <v>0</v>
      </c>
      <c r="D56" s="17" t="n">
        <v>70</v>
      </c>
      <c r="E56" s="17" t="n">
        <f aca="false">C56*D56</f>
        <v>0</v>
      </c>
      <c r="F56" s="18" t="n">
        <f aca="false">$F$96</f>
        <v>0</v>
      </c>
      <c r="G56" s="14" t="n">
        <f aca="false">E56*(1-F56)</f>
        <v>0</v>
      </c>
      <c r="H56" s="34" t="n">
        <v>15.354</v>
      </c>
      <c r="I56" s="26" t="n">
        <f aca="false">C58*H56</f>
        <v>0</v>
      </c>
    </row>
    <row r="57" customFormat="false" ht="14.25" hidden="true" customHeight="false" outlineLevel="0" collapsed="false">
      <c r="A57" s="13" t="s">
        <v>99</v>
      </c>
      <c r="B57" s="14" t="s">
        <v>100</v>
      </c>
      <c r="C57" s="15" t="n">
        <v>0</v>
      </c>
      <c r="D57" s="17" t="n">
        <v>75</v>
      </c>
      <c r="E57" s="17" t="n">
        <f aca="false">C57*D57</f>
        <v>0</v>
      </c>
      <c r="F57" s="18" t="n">
        <f aca="false">$F$96</f>
        <v>0</v>
      </c>
      <c r="G57" s="14" t="n">
        <f aca="false">E57*(1-F57)</f>
        <v>0</v>
      </c>
      <c r="H57" s="34" t="n">
        <v>28.2</v>
      </c>
      <c r="I57" s="26" t="n">
        <f aca="false">C59*H57</f>
        <v>0</v>
      </c>
    </row>
    <row r="58" customFormat="false" ht="14.25" hidden="true" customHeight="false" outlineLevel="0" collapsed="false">
      <c r="A58" s="13" t="s">
        <v>101</v>
      </c>
      <c r="B58" s="14" t="s">
        <v>102</v>
      </c>
      <c r="C58" s="15" t="n">
        <v>0</v>
      </c>
      <c r="D58" s="17" t="n">
        <v>40</v>
      </c>
      <c r="E58" s="17" t="n">
        <f aca="false">C58*D58</f>
        <v>0</v>
      </c>
      <c r="F58" s="18" t="n">
        <f aca="false">$F$96</f>
        <v>0</v>
      </c>
      <c r="G58" s="14" t="n">
        <f aca="false">E58*(1-F58)</f>
        <v>0</v>
      </c>
      <c r="H58" s="34" t="n">
        <v>0</v>
      </c>
      <c r="I58" s="26" t="n">
        <f aca="false">C60*H58</f>
        <v>0</v>
      </c>
    </row>
    <row r="59" customFormat="false" ht="14.25" hidden="true" customHeight="false" outlineLevel="0" collapsed="false">
      <c r="A59" s="13" t="n">
        <v>30202092</v>
      </c>
      <c r="B59" s="14" t="s">
        <v>103</v>
      </c>
      <c r="C59" s="15" t="n">
        <v>0</v>
      </c>
      <c r="D59" s="17" t="n">
        <v>75</v>
      </c>
      <c r="E59" s="17" t="n">
        <f aca="false">C59*D59</f>
        <v>0</v>
      </c>
      <c r="F59" s="18" t="n">
        <f aca="false">$F$96</f>
        <v>0</v>
      </c>
      <c r="G59" s="14" t="n">
        <f aca="false">E59*(1-F59)</f>
        <v>0</v>
      </c>
      <c r="H59" s="34" t="n">
        <v>2.225</v>
      </c>
      <c r="I59" s="26" t="n">
        <f aca="false">C61*H59</f>
        <v>0</v>
      </c>
    </row>
    <row r="60" customFormat="false" ht="14.25" hidden="true" customHeight="false" outlineLevel="0" collapsed="false">
      <c r="A60" s="13" t="n">
        <v>30202049</v>
      </c>
      <c r="B60" s="14" t="s">
        <v>104</v>
      </c>
      <c r="C60" s="15" t="n">
        <v>0</v>
      </c>
      <c r="D60" s="17" t="n">
        <v>75</v>
      </c>
      <c r="E60" s="17" t="n">
        <f aca="false">C60*D60</f>
        <v>0</v>
      </c>
      <c r="F60" s="18" t="n">
        <f aca="false">$F$96</f>
        <v>0</v>
      </c>
      <c r="G60" s="14" t="n">
        <f aca="false">E60*(1-F60)</f>
        <v>0</v>
      </c>
      <c r="H60" s="34" t="n">
        <v>0</v>
      </c>
      <c r="I60" s="26" t="n">
        <f aca="false">C62*H60</f>
        <v>0</v>
      </c>
    </row>
    <row r="61" customFormat="false" ht="14.25" hidden="true" customHeight="false" outlineLevel="0" collapsed="false">
      <c r="A61" s="13" t="s">
        <v>105</v>
      </c>
      <c r="B61" s="14" t="s">
        <v>106</v>
      </c>
      <c r="C61" s="15"/>
      <c r="D61" s="16" t="n">
        <v>6.5</v>
      </c>
      <c r="E61" s="17" t="n">
        <f aca="false">C61*D61</f>
        <v>0</v>
      </c>
      <c r="F61" s="18" t="n">
        <f aca="false">$F$96</f>
        <v>0</v>
      </c>
      <c r="G61" s="14" t="n">
        <f aca="false">E61*(1-F61)</f>
        <v>0</v>
      </c>
      <c r="I61" s="32"/>
    </row>
    <row r="62" customFormat="false" ht="14.25" hidden="true" customHeight="false" outlineLevel="0" collapsed="false">
      <c r="A62" s="13" t="s">
        <v>107</v>
      </c>
      <c r="B62" s="14" t="s">
        <v>108</v>
      </c>
      <c r="C62" s="15"/>
      <c r="D62" s="17" t="n">
        <v>6</v>
      </c>
      <c r="E62" s="17" t="n">
        <f aca="false">C62*D62</f>
        <v>0</v>
      </c>
      <c r="F62" s="18" t="n">
        <f aca="false">$F$96</f>
        <v>0</v>
      </c>
      <c r="G62" s="14" t="n">
        <f aca="false">E62*(1-F62)</f>
        <v>0</v>
      </c>
      <c r="H62" s="34" t="n">
        <v>0</v>
      </c>
      <c r="I62" s="26" t="n">
        <f aca="false">C64*H62</f>
        <v>0</v>
      </c>
    </row>
    <row r="63" customFormat="false" ht="14.25" hidden="true" customHeight="false" outlineLevel="0" collapsed="false">
      <c r="A63" s="13" t="n">
        <v>30450017</v>
      </c>
      <c r="B63" s="14" t="s">
        <v>109</v>
      </c>
      <c r="C63" s="15"/>
      <c r="D63" s="16" t="n">
        <v>6</v>
      </c>
      <c r="E63" s="17" t="n">
        <f aca="false">C63*D63</f>
        <v>0</v>
      </c>
      <c r="F63" s="18" t="n">
        <f aca="false">$F$96</f>
        <v>0</v>
      </c>
      <c r="G63" s="14" t="n">
        <f aca="false">E63*(1-F63)</f>
        <v>0</v>
      </c>
      <c r="I63" s="32"/>
    </row>
    <row r="64" customFormat="false" ht="14.25" hidden="true" customHeight="false" outlineLevel="0" collapsed="false">
      <c r="A64" s="13" t="s">
        <v>110</v>
      </c>
      <c r="B64" s="14" t="s">
        <v>111</v>
      </c>
      <c r="C64" s="15"/>
      <c r="D64" s="16" t="n">
        <v>3</v>
      </c>
      <c r="E64" s="17" t="n">
        <f aca="false">C64*D64</f>
        <v>0</v>
      </c>
      <c r="F64" s="18" t="n">
        <f aca="false">$F$96</f>
        <v>0</v>
      </c>
      <c r="G64" s="14" t="n">
        <f aca="false">E64*(1-F64)</f>
        <v>0</v>
      </c>
      <c r="I64" s="32"/>
    </row>
    <row r="65" customFormat="false" ht="14.25" hidden="true" customHeight="false" outlineLevel="0" collapsed="false">
      <c r="A65" s="13" t="s">
        <v>112</v>
      </c>
      <c r="B65" s="14" t="s">
        <v>113</v>
      </c>
      <c r="C65" s="15" t="n">
        <v>0</v>
      </c>
      <c r="D65" s="17" t="n">
        <v>75</v>
      </c>
      <c r="E65" s="17" t="n">
        <f aca="false">C65*D65</f>
        <v>0</v>
      </c>
      <c r="F65" s="18" t="n">
        <f aca="false">$F$96</f>
        <v>0</v>
      </c>
      <c r="G65" s="14" t="n">
        <f aca="false">E65*(1-F65)</f>
        <v>0</v>
      </c>
      <c r="H65" s="34" t="n">
        <v>0.693</v>
      </c>
      <c r="I65" s="26" t="n">
        <f aca="false">C67*H65</f>
        <v>0</v>
      </c>
    </row>
    <row r="66" customFormat="false" ht="14.25" hidden="false" customHeight="false" outlineLevel="0" collapsed="false">
      <c r="A66" s="13" t="n">
        <v>30202108</v>
      </c>
      <c r="B66" s="14" t="s">
        <v>114</v>
      </c>
      <c r="C66" s="15" t="n">
        <v>6</v>
      </c>
      <c r="D66" s="17" t="n">
        <v>6</v>
      </c>
      <c r="E66" s="17" t="n">
        <f aca="false">C66*D66</f>
        <v>36</v>
      </c>
      <c r="F66" s="18" t="n">
        <f aca="false">$F$96</f>
        <v>0</v>
      </c>
      <c r="G66" s="14" t="n">
        <f aca="false">E66*(1-F66)</f>
        <v>36</v>
      </c>
      <c r="H66" s="34" t="n">
        <v>0</v>
      </c>
      <c r="I66" s="26" t="n">
        <f aca="false">C68*H66</f>
        <v>0</v>
      </c>
    </row>
    <row r="67" customFormat="false" ht="14.25" hidden="true" customHeight="false" outlineLevel="0" collapsed="false">
      <c r="A67" s="13" t="n">
        <v>30420023</v>
      </c>
      <c r="B67" s="14" t="s">
        <v>115</v>
      </c>
      <c r="C67" s="15" t="n">
        <v>0</v>
      </c>
      <c r="D67" s="17" t="n">
        <v>110</v>
      </c>
      <c r="E67" s="17" t="n">
        <f aca="false">C67*D67</f>
        <v>0</v>
      </c>
      <c r="F67" s="18" t="n">
        <f aca="false">$F$96</f>
        <v>0</v>
      </c>
      <c r="G67" s="14" t="n">
        <f aca="false">E67*(1-F67)</f>
        <v>0</v>
      </c>
      <c r="H67" s="34" t="n">
        <v>0</v>
      </c>
      <c r="I67" s="26" t="n">
        <f aca="false">C69*H67</f>
        <v>0</v>
      </c>
    </row>
    <row r="68" customFormat="false" ht="14.25" hidden="true" customHeight="false" outlineLevel="0" collapsed="false">
      <c r="A68" s="13"/>
      <c r="B68" s="14" t="s">
        <v>116</v>
      </c>
      <c r="C68" s="15" t="n">
        <v>0</v>
      </c>
      <c r="D68" s="17" t="n">
        <v>3</v>
      </c>
      <c r="E68" s="17" t="n">
        <f aca="false">C68*D68</f>
        <v>0</v>
      </c>
      <c r="F68" s="18" t="n">
        <f aca="false">$F$96</f>
        <v>0</v>
      </c>
      <c r="G68" s="14" t="n">
        <f aca="false">E68*(1-F68)</f>
        <v>0</v>
      </c>
      <c r="H68" s="34" t="n">
        <v>2.956</v>
      </c>
      <c r="I68" s="26" t="n">
        <f aca="false">C70*H68</f>
        <v>0</v>
      </c>
    </row>
    <row r="69" customFormat="false" ht="14.25" hidden="true" customHeight="false" outlineLevel="0" collapsed="false">
      <c r="A69" s="13" t="s">
        <v>117</v>
      </c>
      <c r="B69" s="14" t="s">
        <v>118</v>
      </c>
      <c r="C69" s="15" t="n">
        <v>0</v>
      </c>
      <c r="D69" s="17" t="n">
        <v>25</v>
      </c>
      <c r="E69" s="17" t="n">
        <f aca="false">C69*D69</f>
        <v>0</v>
      </c>
      <c r="F69" s="18" t="n">
        <f aca="false">$F$96</f>
        <v>0</v>
      </c>
      <c r="G69" s="14" t="n">
        <f aca="false">E69*(1-F69)</f>
        <v>0</v>
      </c>
      <c r="H69" s="34" t="n">
        <v>0</v>
      </c>
      <c r="I69" s="26" t="n">
        <f aca="false">C71*H69</f>
        <v>0</v>
      </c>
    </row>
    <row r="70" customFormat="false" ht="14.25" hidden="true" customHeight="false" outlineLevel="0" collapsed="false">
      <c r="A70" s="13" t="s">
        <v>119</v>
      </c>
      <c r="B70" s="14" t="s">
        <v>120</v>
      </c>
      <c r="C70" s="15" t="n">
        <v>0</v>
      </c>
      <c r="D70" s="17" t="n">
        <v>3</v>
      </c>
      <c r="E70" s="17" t="n">
        <f aca="false">C70*D70</f>
        <v>0</v>
      </c>
      <c r="F70" s="18" t="n">
        <f aca="false">$F$96</f>
        <v>0</v>
      </c>
      <c r="G70" s="14" t="n">
        <f aca="false">E70*(1-F70)</f>
        <v>0</v>
      </c>
      <c r="H70" s="34" t="n">
        <v>0</v>
      </c>
      <c r="I70" s="26" t="n">
        <f aca="false">C72*H70</f>
        <v>0</v>
      </c>
    </row>
    <row r="71" customFormat="false" ht="14.25" hidden="true" customHeight="false" outlineLevel="0" collapsed="false">
      <c r="A71" s="13" t="n">
        <v>30201022</v>
      </c>
      <c r="B71" s="14" t="s">
        <v>121</v>
      </c>
      <c r="C71" s="15"/>
      <c r="D71" s="16" t="n">
        <v>9</v>
      </c>
      <c r="E71" s="17" t="n">
        <f aca="false">C71*D71</f>
        <v>0</v>
      </c>
      <c r="F71" s="18" t="n">
        <f aca="false">$F$96</f>
        <v>0</v>
      </c>
      <c r="G71" s="14" t="n">
        <f aca="false">E71*(1-F71)</f>
        <v>0</v>
      </c>
      <c r="I71" s="32"/>
    </row>
    <row r="72" customFormat="false" ht="14.25" hidden="true" customHeight="false" outlineLevel="0" collapsed="false">
      <c r="A72" s="13" t="s">
        <v>122</v>
      </c>
      <c r="B72" s="14" t="s">
        <v>123</v>
      </c>
      <c r="C72" s="15"/>
      <c r="D72" s="16" t="n">
        <v>3</v>
      </c>
      <c r="E72" s="17" t="n">
        <f aca="false">C72*D72</f>
        <v>0</v>
      </c>
      <c r="F72" s="18" t="n">
        <f aca="false">$F$96</f>
        <v>0</v>
      </c>
      <c r="G72" s="14" t="n">
        <f aca="false">E72*(1-F72)</f>
        <v>0</v>
      </c>
      <c r="I72" s="32"/>
    </row>
    <row r="73" customFormat="false" ht="14.25" hidden="true" customHeight="false" outlineLevel="0" collapsed="false">
      <c r="A73" s="13" t="s">
        <v>124</v>
      </c>
      <c r="B73" s="14" t="s">
        <v>125</v>
      </c>
      <c r="C73" s="15"/>
      <c r="D73" s="16" t="n">
        <v>3</v>
      </c>
      <c r="E73" s="17" t="n">
        <f aca="false">C73*D73</f>
        <v>0</v>
      </c>
      <c r="F73" s="18" t="n">
        <f aca="false">$F$96</f>
        <v>0</v>
      </c>
      <c r="G73" s="14" t="n">
        <f aca="false">E73*(1-F73)</f>
        <v>0</v>
      </c>
      <c r="I73" s="32"/>
    </row>
    <row r="74" customFormat="false" ht="14.25" hidden="true" customHeight="false" outlineLevel="0" collapsed="false">
      <c r="A74" s="13" t="n">
        <v>30202030</v>
      </c>
      <c r="B74" s="14" t="s">
        <v>126</v>
      </c>
      <c r="C74" s="15"/>
      <c r="D74" s="16" t="n">
        <v>39</v>
      </c>
      <c r="E74" s="17" t="n">
        <f aca="false">C74*D74</f>
        <v>0</v>
      </c>
      <c r="F74" s="18" t="n">
        <f aca="false">$F$96</f>
        <v>0</v>
      </c>
      <c r="G74" s="14" t="n">
        <f aca="false">E74*(1-F74)</f>
        <v>0</v>
      </c>
      <c r="I74" s="32"/>
    </row>
    <row r="75" customFormat="false" ht="14.25" hidden="true" customHeight="false" outlineLevel="0" collapsed="false">
      <c r="A75" s="13" t="s">
        <v>127</v>
      </c>
      <c r="B75" s="14" t="s">
        <v>128</v>
      </c>
      <c r="C75" s="15" t="n">
        <v>0</v>
      </c>
      <c r="D75" s="17" t="n">
        <v>80</v>
      </c>
      <c r="E75" s="17" t="n">
        <f aca="false">C75*D75</f>
        <v>0</v>
      </c>
      <c r="F75" s="18" t="n">
        <f aca="false">$F$96</f>
        <v>0</v>
      </c>
      <c r="G75" s="14" t="n">
        <f aca="false">E75*(1-F75)</f>
        <v>0</v>
      </c>
      <c r="H75" s="34" t="n">
        <v>20.409</v>
      </c>
      <c r="I75" s="26" t="n">
        <f aca="false">C77*H75</f>
        <v>0</v>
      </c>
    </row>
    <row r="76" customFormat="false" ht="14.25" hidden="true" customHeight="false" outlineLevel="0" collapsed="false">
      <c r="A76" s="13" t="n">
        <v>30420033</v>
      </c>
      <c r="B76" s="14" t="s">
        <v>129</v>
      </c>
      <c r="C76" s="15" t="n">
        <v>0</v>
      </c>
      <c r="D76" s="17" t="n">
        <v>37.5</v>
      </c>
      <c r="E76" s="17" t="n">
        <f aca="false">C76*D76</f>
        <v>0</v>
      </c>
      <c r="F76" s="18" t="n">
        <f aca="false">$F$96</f>
        <v>0</v>
      </c>
      <c r="G76" s="14" t="n">
        <f aca="false">E76*(1-F76)</f>
        <v>0</v>
      </c>
      <c r="H76" s="34" t="n">
        <v>13.686</v>
      </c>
      <c r="I76" s="26" t="n">
        <f aca="false">C78*H76</f>
        <v>0</v>
      </c>
    </row>
    <row r="77" customFormat="false" ht="14.25" hidden="true" customHeight="false" outlineLevel="0" collapsed="false">
      <c r="A77" s="13" t="s">
        <v>130</v>
      </c>
      <c r="B77" s="14" t="s">
        <v>131</v>
      </c>
      <c r="C77" s="15" t="n">
        <v>0</v>
      </c>
      <c r="D77" s="17" t="n">
        <v>60</v>
      </c>
      <c r="E77" s="17" t="n">
        <f aca="false">C77*D77</f>
        <v>0</v>
      </c>
      <c r="F77" s="18" t="n">
        <f aca="false">$F$96</f>
        <v>0</v>
      </c>
      <c r="G77" s="14" t="n">
        <f aca="false">E77*(1-F77)</f>
        <v>0</v>
      </c>
      <c r="H77" s="34" t="n">
        <v>18.179</v>
      </c>
      <c r="I77" s="26" t="n">
        <f aca="false">C79*H77</f>
        <v>0</v>
      </c>
    </row>
    <row r="78" customFormat="false" ht="14.25" hidden="true" customHeight="false" outlineLevel="0" collapsed="false">
      <c r="A78" s="13" t="n">
        <v>30203001</v>
      </c>
      <c r="B78" s="14" t="s">
        <v>132</v>
      </c>
      <c r="C78" s="15"/>
      <c r="D78" s="16" t="n">
        <v>80</v>
      </c>
      <c r="E78" s="17" t="n">
        <f aca="false">C78*D78</f>
        <v>0</v>
      </c>
      <c r="F78" s="18" t="n">
        <f aca="false">$F$96</f>
        <v>0</v>
      </c>
      <c r="G78" s="14" t="n">
        <f aca="false">E78*(1-F78)</f>
        <v>0</v>
      </c>
      <c r="I78" s="32"/>
    </row>
    <row r="79" customFormat="false" ht="14.25" hidden="true" customHeight="false" outlineLevel="0" collapsed="false">
      <c r="A79" s="13" t="n">
        <v>30202044</v>
      </c>
      <c r="B79" s="14" t="s">
        <v>133</v>
      </c>
      <c r="C79" s="15"/>
      <c r="D79" s="16" t="n">
        <v>95</v>
      </c>
      <c r="E79" s="17" t="n">
        <f aca="false">C79*D79</f>
        <v>0</v>
      </c>
      <c r="F79" s="18" t="n">
        <f aca="false">$F$96</f>
        <v>0</v>
      </c>
      <c r="G79" s="14" t="n">
        <f aca="false">E79*(1-F79)</f>
        <v>0</v>
      </c>
      <c r="I79" s="32"/>
    </row>
    <row r="80" customFormat="false" ht="14.25" hidden="true" customHeight="false" outlineLevel="0" collapsed="false">
      <c r="A80" s="13" t="n">
        <v>30202060</v>
      </c>
      <c r="B80" s="14" t="s">
        <v>31</v>
      </c>
      <c r="C80" s="15"/>
      <c r="D80" s="16" t="n">
        <v>12.5</v>
      </c>
      <c r="E80" s="17" t="n">
        <f aca="false">C80*D80</f>
        <v>0</v>
      </c>
      <c r="F80" s="18" t="n">
        <f aca="false">$F$96</f>
        <v>0</v>
      </c>
      <c r="G80" s="14" t="n">
        <f aca="false">E80*(1-F80)</f>
        <v>0</v>
      </c>
      <c r="I80" s="32"/>
    </row>
    <row r="81" customFormat="false" ht="14.25" hidden="true" customHeight="false" outlineLevel="0" collapsed="false">
      <c r="A81" s="13" t="n">
        <v>30410074</v>
      </c>
      <c r="B81" s="14" t="s">
        <v>115</v>
      </c>
      <c r="C81" s="15" t="n">
        <v>0</v>
      </c>
      <c r="D81" s="17" t="n">
        <v>80</v>
      </c>
      <c r="E81" s="17" t="n">
        <f aca="false">C81*D81</f>
        <v>0</v>
      </c>
      <c r="F81" s="18" t="n">
        <f aca="false">$F$96</f>
        <v>0</v>
      </c>
      <c r="G81" s="14" t="n">
        <f aca="false">E81*(1-F81)</f>
        <v>0</v>
      </c>
      <c r="H81" s="34" t="n">
        <v>30.61</v>
      </c>
      <c r="I81" s="26" t="n">
        <f aca="false">C83*H81</f>
        <v>30.61</v>
      </c>
    </row>
    <row r="82" customFormat="false" ht="14.25" hidden="true" customHeight="false" outlineLevel="0" collapsed="false">
      <c r="A82" s="13" t="n">
        <v>30410119</v>
      </c>
      <c r="B82" s="14" t="s">
        <v>134</v>
      </c>
      <c r="C82" s="15" t="n">
        <v>0</v>
      </c>
      <c r="D82" s="17" t="n">
        <v>10</v>
      </c>
      <c r="E82" s="17" t="n">
        <f aca="false">C82*D82</f>
        <v>0</v>
      </c>
      <c r="F82" s="18" t="n">
        <f aca="false">$F$96</f>
        <v>0</v>
      </c>
      <c r="G82" s="14" t="n">
        <f aca="false">E82*(1-F82)</f>
        <v>0</v>
      </c>
      <c r="H82" s="34" t="n">
        <v>35.11</v>
      </c>
      <c r="I82" s="26" t="n">
        <f aca="false">C84*H82</f>
        <v>0</v>
      </c>
    </row>
    <row r="83" customFormat="false" ht="14.25" hidden="false" customHeight="false" outlineLevel="0" collapsed="false">
      <c r="A83" s="13" t="n">
        <v>30203190</v>
      </c>
      <c r="B83" s="14" t="s">
        <v>135</v>
      </c>
      <c r="C83" s="15" t="n">
        <v>1</v>
      </c>
      <c r="D83" s="16" t="n">
        <v>165</v>
      </c>
      <c r="E83" s="17" t="n">
        <f aca="false">C83*D83</f>
        <v>165</v>
      </c>
      <c r="F83" s="18" t="n">
        <f aca="false">$F$96</f>
        <v>0</v>
      </c>
      <c r="G83" s="14" t="n">
        <f aca="false">E83*(1-F83)</f>
        <v>165</v>
      </c>
      <c r="I83" s="32"/>
    </row>
    <row r="84" customFormat="false" ht="14.25" hidden="true" customHeight="false" outlineLevel="0" collapsed="false">
      <c r="A84" s="13" t="n">
        <v>30410116</v>
      </c>
      <c r="B84" s="14" t="s">
        <v>136</v>
      </c>
      <c r="C84" s="15" t="n">
        <v>0</v>
      </c>
      <c r="D84" s="17" t="n">
        <v>80</v>
      </c>
      <c r="E84" s="17" t="n">
        <f aca="false">C84*D84</f>
        <v>0</v>
      </c>
      <c r="F84" s="18" t="n">
        <f aca="false">$F$96</f>
        <v>0</v>
      </c>
      <c r="G84" s="14" t="n">
        <f aca="false">E84*(1-F84)</f>
        <v>0</v>
      </c>
      <c r="H84" s="34" t="n">
        <v>35.814</v>
      </c>
      <c r="I84" s="26" t="n">
        <f aca="false">C86*H84</f>
        <v>0</v>
      </c>
    </row>
    <row r="85" customFormat="false" ht="14.25" hidden="true" customHeight="false" outlineLevel="0" collapsed="false">
      <c r="A85" s="13" t="s">
        <v>137</v>
      </c>
      <c r="B85" s="14" t="s">
        <v>138</v>
      </c>
      <c r="C85" s="15" t="n">
        <v>0</v>
      </c>
      <c r="D85" s="17" t="n">
        <v>100</v>
      </c>
      <c r="E85" s="17" t="n">
        <f aca="false">C85*D85</f>
        <v>0</v>
      </c>
      <c r="F85" s="18" t="n">
        <f aca="false">$F$96</f>
        <v>0</v>
      </c>
      <c r="G85" s="14" t="n">
        <f aca="false">E85*(1-F85)</f>
        <v>0</v>
      </c>
      <c r="H85" s="34" t="n">
        <v>27.989</v>
      </c>
      <c r="I85" s="26" t="n">
        <f aca="false">C87*H85</f>
        <v>0</v>
      </c>
    </row>
    <row r="86" customFormat="false" ht="14.25" hidden="true" customHeight="false" outlineLevel="0" collapsed="false">
      <c r="A86" s="13" t="s">
        <v>139</v>
      </c>
      <c r="B86" s="14" t="s">
        <v>140</v>
      </c>
      <c r="C86" s="15" t="n">
        <v>0</v>
      </c>
      <c r="D86" s="17" t="n">
        <v>75</v>
      </c>
      <c r="E86" s="17" t="n">
        <f aca="false">C86*D86</f>
        <v>0</v>
      </c>
      <c r="F86" s="18" t="n">
        <f aca="false">$F$96</f>
        <v>0</v>
      </c>
      <c r="G86" s="14" t="n">
        <f aca="false">E86*(1-F86)</f>
        <v>0</v>
      </c>
      <c r="H86" s="34" t="n">
        <v>96.522</v>
      </c>
      <c r="I86" s="26" t="n">
        <f aca="false">C88*H86</f>
        <v>0</v>
      </c>
    </row>
    <row r="87" customFormat="false" ht="14.25" hidden="true" customHeight="false" outlineLevel="0" collapsed="false">
      <c r="A87" s="13" t="s">
        <v>141</v>
      </c>
      <c r="B87" s="14" t="s">
        <v>142</v>
      </c>
      <c r="C87" s="15" t="n">
        <v>0</v>
      </c>
      <c r="D87" s="17" t="n">
        <v>80</v>
      </c>
      <c r="E87" s="17" t="n">
        <f aca="false">C87*D87</f>
        <v>0</v>
      </c>
      <c r="F87" s="18" t="n">
        <f aca="false">$F$96</f>
        <v>0</v>
      </c>
      <c r="G87" s="14" t="n">
        <f aca="false">E87*(1-F87)</f>
        <v>0</v>
      </c>
      <c r="H87" s="34" t="n">
        <v>121.324</v>
      </c>
      <c r="I87" s="26" t="n">
        <f aca="false">C89*H87</f>
        <v>0</v>
      </c>
    </row>
    <row r="88" customFormat="false" ht="14.25" hidden="true" customHeight="false" outlineLevel="0" collapsed="false">
      <c r="A88" s="13" t="s">
        <v>137</v>
      </c>
      <c r="B88" s="14" t="s">
        <v>138</v>
      </c>
      <c r="C88" s="15" t="n">
        <v>0</v>
      </c>
      <c r="D88" s="17" t="n">
        <v>120</v>
      </c>
      <c r="E88" s="17" t="n">
        <f aca="false">C88*D88</f>
        <v>0</v>
      </c>
      <c r="F88" s="18" t="n">
        <f aca="false">$F$96</f>
        <v>0</v>
      </c>
      <c r="G88" s="14" t="n">
        <f aca="false">E88*(1-F88)</f>
        <v>0</v>
      </c>
      <c r="H88" s="34" t="n">
        <v>29.499</v>
      </c>
      <c r="I88" s="26" t="n">
        <f aca="false">C90*H88</f>
        <v>0</v>
      </c>
    </row>
    <row r="89" customFormat="false" ht="14.25" hidden="true" customHeight="false" outlineLevel="0" collapsed="false">
      <c r="A89" s="13" t="s">
        <v>143</v>
      </c>
      <c r="B89" s="14" t="s">
        <v>144</v>
      </c>
      <c r="C89" s="15" t="n">
        <v>0</v>
      </c>
      <c r="D89" s="17" t="n">
        <v>150</v>
      </c>
      <c r="E89" s="17" t="n">
        <f aca="false">C89*D89</f>
        <v>0</v>
      </c>
      <c r="F89" s="18" t="n">
        <f aca="false">$F$96</f>
        <v>0</v>
      </c>
      <c r="G89" s="14" t="n">
        <f aca="false">E89*(1-F89)</f>
        <v>0</v>
      </c>
      <c r="H89" s="35" t="n">
        <v>28.961</v>
      </c>
      <c r="I89" s="26" t="n">
        <f aca="false">C91*H89</f>
        <v>0</v>
      </c>
    </row>
    <row r="90" customFormat="false" ht="14.25" hidden="true" customHeight="false" outlineLevel="0" collapsed="false">
      <c r="A90" s="36" t="n">
        <v>20701048</v>
      </c>
      <c r="B90" s="37" t="s">
        <v>145</v>
      </c>
      <c r="C90" s="38"/>
      <c r="D90" s="17" t="n">
        <v>85</v>
      </c>
      <c r="E90" s="17" t="n">
        <f aca="false">C90*D90</f>
        <v>0</v>
      </c>
      <c r="F90" s="18" t="n">
        <f aca="false">$F$96</f>
        <v>0</v>
      </c>
      <c r="G90" s="14" t="n">
        <f aca="false">E90*(1-F90)</f>
        <v>0</v>
      </c>
      <c r="H90" s="34" t="n">
        <v>0</v>
      </c>
      <c r="I90" s="39" t="n">
        <f aca="false">C92*H90</f>
        <v>0</v>
      </c>
    </row>
    <row r="91" customFormat="false" ht="14.25" hidden="true" customHeight="false" outlineLevel="0" collapsed="false">
      <c r="A91" s="14" t="s">
        <v>146</v>
      </c>
      <c r="B91" s="14" t="s">
        <v>147</v>
      </c>
      <c r="C91" s="15"/>
      <c r="D91" s="16" t="n">
        <v>85</v>
      </c>
      <c r="E91" s="17" t="n">
        <f aca="false">C91*D91</f>
        <v>0</v>
      </c>
      <c r="F91" s="18" t="n">
        <f aca="false">$F$96</f>
        <v>0</v>
      </c>
      <c r="G91" s="14" t="n">
        <f aca="false">E91*(1-F91)</f>
        <v>0</v>
      </c>
      <c r="I91" s="32"/>
    </row>
    <row r="92" customFormat="false" ht="14.25" hidden="true" customHeight="false" outlineLevel="0" collapsed="false">
      <c r="A92" s="14"/>
      <c r="B92" s="14" t="s">
        <v>148</v>
      </c>
      <c r="C92" s="15" t="n">
        <v>0</v>
      </c>
      <c r="D92" s="17" t="n">
        <v>4</v>
      </c>
      <c r="E92" s="17" t="n">
        <f aca="false">C92*D92</f>
        <v>0</v>
      </c>
      <c r="F92" s="18" t="n">
        <f aca="false">$F$96</f>
        <v>0</v>
      </c>
      <c r="G92" s="14" t="n">
        <f aca="false">E92*(1-F92)</f>
        <v>0</v>
      </c>
      <c r="H92" s="34" t="n">
        <v>8.26</v>
      </c>
      <c r="I92" s="26" t="n">
        <f aca="false">C94*H92</f>
        <v>0</v>
      </c>
    </row>
    <row r="93" customFormat="false" ht="14.25" hidden="true" customHeight="false" outlineLevel="0" collapsed="false">
      <c r="A93" s="14"/>
      <c r="B93" s="40" t="s">
        <v>149</v>
      </c>
      <c r="C93" s="38" t="n">
        <v>0</v>
      </c>
      <c r="D93" s="17" t="n">
        <v>75</v>
      </c>
      <c r="E93" s="17" t="n">
        <f aca="false">C93*D93</f>
        <v>0</v>
      </c>
      <c r="F93" s="18" t="n">
        <f aca="false">$F$96</f>
        <v>0</v>
      </c>
      <c r="G93" s="14" t="n">
        <f aca="false">E93*(1-F93)</f>
        <v>0</v>
      </c>
      <c r="H93" s="34" t="n">
        <v>3.87</v>
      </c>
      <c r="I93" s="39" t="n">
        <f aca="false">C95*H93</f>
        <v>0</v>
      </c>
    </row>
    <row r="94" customFormat="false" ht="14.25" hidden="true" customHeight="false" outlineLevel="0" collapsed="false">
      <c r="A94" s="14" t="n">
        <v>20020160</v>
      </c>
      <c r="B94" s="14" t="s">
        <v>150</v>
      </c>
      <c r="C94" s="15" t="n">
        <v>0</v>
      </c>
      <c r="D94" s="17" t="n">
        <v>12.5</v>
      </c>
      <c r="E94" s="17" t="n">
        <f aca="false">C94*D94</f>
        <v>0</v>
      </c>
      <c r="F94" s="18" t="n">
        <f aca="false">$F$96</f>
        <v>0</v>
      </c>
      <c r="G94" s="14" t="n">
        <f aca="false">E94*(1-F94)</f>
        <v>0</v>
      </c>
      <c r="H94" s="41" t="s">
        <v>151</v>
      </c>
      <c r="I94" s="39" t="n">
        <f aca="false">SUM(I29:I93)</f>
        <v>41.968</v>
      </c>
      <c r="J94" s="0" t="s">
        <v>152</v>
      </c>
      <c r="K94" s="0" t="s">
        <v>152</v>
      </c>
    </row>
    <row r="95" customFormat="false" ht="14.25" hidden="true" customHeight="false" outlineLevel="0" collapsed="false">
      <c r="A95" s="14" t="n">
        <v>20000348</v>
      </c>
      <c r="B95" s="14" t="s">
        <v>153</v>
      </c>
      <c r="C95" s="15" t="n">
        <v>0</v>
      </c>
      <c r="D95" s="17" t="n">
        <v>7.5</v>
      </c>
      <c r="E95" s="17" t="n">
        <f aca="false">C95*D95</f>
        <v>0</v>
      </c>
      <c r="F95" s="18" t="n">
        <f aca="false">$F$96</f>
        <v>0</v>
      </c>
      <c r="G95" s="14" t="n">
        <f aca="false">E95*(1-F95)</f>
        <v>0</v>
      </c>
    </row>
    <row r="96" customFormat="false" ht="14.25" hidden="false" customHeight="false" outlineLevel="0" collapsed="false">
      <c r="A96" s="42"/>
      <c r="B96" s="43" t="s">
        <v>154</v>
      </c>
      <c r="C96" s="44" t="n">
        <f aca="false">SUM(E8:E95)</f>
        <v>824.5</v>
      </c>
      <c r="D96" s="44"/>
      <c r="E96" s="44"/>
      <c r="F96" s="45" t="n">
        <v>0</v>
      </c>
      <c r="G96" s="46" t="n">
        <f aca="false">SUM(G8:G95)</f>
        <v>824.5</v>
      </c>
      <c r="I96" s="32"/>
    </row>
    <row r="97" customFormat="false" ht="14.25" hidden="false" customHeight="false" outlineLevel="0" collapsed="false">
      <c r="A97" s="42"/>
      <c r="B97" s="47"/>
      <c r="C97" s="48" t="n">
        <v>1</v>
      </c>
      <c r="D97" s="49" t="n">
        <v>16</v>
      </c>
      <c r="E97" s="50"/>
      <c r="F97" s="51"/>
      <c r="G97" s="52" t="n">
        <f aca="false">(G96*0.16*C97)</f>
        <v>131.92</v>
      </c>
    </row>
    <row r="98" customFormat="false" ht="15" hidden="false" customHeight="false" outlineLevel="0" collapsed="false">
      <c r="A98" s="53" t="s">
        <v>155</v>
      </c>
      <c r="B98" s="54" t="s">
        <v>152</v>
      </c>
      <c r="C98" s="54"/>
      <c r="D98" s="54"/>
      <c r="E98" s="54"/>
      <c r="F98" s="54"/>
      <c r="G98" s="55" t="n">
        <f aca="false">G96+G97</f>
        <v>956.42</v>
      </c>
    </row>
    <row r="99" customFormat="false" ht="14.25" hidden="true" customHeight="false" outlineLevel="0" collapsed="false"/>
    <row r="100" customFormat="false" ht="14.25" hidden="true" customHeight="false" outlineLevel="0" collapsed="false"/>
    <row r="101" customFormat="false" ht="14.25" hidden="true" customHeight="false" outlineLevel="0" collapsed="false">
      <c r="G101" s="32"/>
    </row>
    <row r="102" customFormat="false" ht="14.25" hidden="true" customHeight="false" outlineLevel="0" collapsed="false"/>
    <row r="103" customFormat="false" ht="14.25" hidden="true" customHeight="false" outlineLevel="0" collapsed="false"/>
    <row r="104" customFormat="false" ht="14.25" hidden="true" customHeight="false" outlineLevel="0" collapsed="false">
      <c r="G104" s="32"/>
    </row>
  </sheetData>
  <autoFilter ref="A7:G104">
    <filterColumn colId="6">
      <filters>
        <filter val="10"/>
        <filter val="131,92"/>
        <filter val="150"/>
        <filter val="156,8"/>
        <filter val="165"/>
        <filter val="35"/>
        <filter val="36"/>
        <filter val="37,5"/>
        <filter val="38"/>
        <filter val="78,4"/>
        <filter val="82,8"/>
        <filter val="824,50"/>
        <filter val="956,42"/>
      </filters>
    </filterColumn>
  </autoFilter>
  <mergeCells count="9">
    <mergeCell ref="A1:G1"/>
    <mergeCell ref="B2:G2"/>
    <mergeCell ref="B3:G3"/>
    <mergeCell ref="B4:G4"/>
    <mergeCell ref="B5:G5"/>
    <mergeCell ref="B6:D6"/>
    <mergeCell ref="A96:A97"/>
    <mergeCell ref="C96:E96"/>
    <mergeCell ref="B98:F9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LibreOffice/25.8.3.2$Windows_X86_64 LibreOffice_project/8ca8d55c161d602844f5428fa4b58097424e324e</Application>
  <AppVersion>15.0000</AppVersion>
  <Company>Grupo Oey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2013-01-21T11:50:21Z</dcterms:created>
  <dc:creator>jcorrea</dc:creator>
  <dc:description/>
  <dc:language>pt-PT</dc:language>
  <cp:lastModifiedBy/>
  <cp:lastPrinted>2023-10-31T11:42:29Z</cp:lastPrinted>
  <dcterms:modified xsi:type="dcterms:W3CDTF">2026-02-05T09:43:54Z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