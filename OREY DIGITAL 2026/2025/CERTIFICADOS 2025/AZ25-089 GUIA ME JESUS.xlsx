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70733F3-C7E6-4C1A-A1B8-13E3B6E41159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<sst xmlns="http://schemas.openxmlformats.org/spreadsheetml/2006/main" count="374" uniqueCount="337">
  <si>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</si>
  <si>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</si>
  <si>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</si>
  <si>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</si>
  <si>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</si>
  <si>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</si>
  <si>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</si>
  <si>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</si>
  <si>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</si>
  <si>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</si>
  <si>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</si>
  <si>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</si>
  <si>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</si>
  <si>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</si>
  <si>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</si>
  <si>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</si>
  <si>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</si>
  <si>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</si>
  <si>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</si>
  <si>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</si>
  <si>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</si>
  <si>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</si>
  <si>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</si>
  <si>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</si>
  <si>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</si>
  <si>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</si>
  <si>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</si>
  <si>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</si>
  <si>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</si>
  <si>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</si>
  <si>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</si>
  <si>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</si>
  <si>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</si>
  <si>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</si>
  <si>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</si>
  <si>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</si>
  <si>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</si>
  <si>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</si>
  <si>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</si>
  <si>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</si>
  <si>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</si>
  <si>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</si>
  <si>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</si>
  <si>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</si>
  <si>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</si>
  <si>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</si>
  <si>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</si>
  <si>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</si>
  <si>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</si>
  <si>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</si>
  <si>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</si>
  <si>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</si>
  <si>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</si>
  <si>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</si>
  <si>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</si>
  <si>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</si>
  <si>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</si>
  <si>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</si>
  <si>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</si>
  <si>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</si>
  <si>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</si>
  <si>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</si>
  <si>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</si>
  <si>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</si>
  <si>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</si>
  <si>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</si>
  <si>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</si>
  <si>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</si>
  <si>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</si>
  <si>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</si>
  <si>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</si>
  <si>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</si>
  <si>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</si>
  <si>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</si>
  <si>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</si>
  <si>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</si>
  <si>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</si>
  <si>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</si>
  <si>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</si>
  <si>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</si>
  <si>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</si>
  <si>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</si>
  <si>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</si>
  <si>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</si>
  <si>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</si>
  <si>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</si>
  <si>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</si>
  <si>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</si>
  <si>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</si>
  <si>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</si>
  <si>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</si>
  <si>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</si>
  <si>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</si>
  <si>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</si>
  <si>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</si>
  <si>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</si>
  <si>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</si>
  <si>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</si>
  <si>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</si>
  <si>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</si>
  <si>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</si>
  <si>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</si>
  <si>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</si>
  <si>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</si>
  <si>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</si>
  <si>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</si>
  <si>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</si>
  <si>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</si>
  <si>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</si>
  <si>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</si>
  <si>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</si>
  <si>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</si>
  <si>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</si>
  <si>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</si>
  <si>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</si>
  <si>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</si>
  <si>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</si>
  <si>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</si>
  <si>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</si>
  <si>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</si>
  <si>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</si>
  <si>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</si>
  <si>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</si>
  <si>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</si>
  <si>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</si>
  <si>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</si>
  <si>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</si>
  <si>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</si>
  <si>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</si>
  <si>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</si>
  <si>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</si>
  <si>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</si>
  <si>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</si>
  <si>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</si>
  <si>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</si>
  <si>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</si>
  <si>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</si>
  <si>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</si>
  <si>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</si>
  <si>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</si>
  <si>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</si>
  <si>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</si>
  <si>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</si>
  <si>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</si>
  <si>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</si>
  <si>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</si>
  <si>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</si>
  <si>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</si>
  <si>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</si>
  <si>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</si>
  <si>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</si>
  <si>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</si>
  <si>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</si>
  <si>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</si>
  <si>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</si>
  <si>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</si>
  <si>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</si>
  <si>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</si>
  <si>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</si>
  <si>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</si>
  <si>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</si>
  <si>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</si>
  <si>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</si>
  <si>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</si>
  <si>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</si>
  <si>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</si>
  <si>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</si>
  <si>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</si>
  <si>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</si>
  <si>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</si>
  <si>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</si>
  <si>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</si>
  <si>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</si>
  <si>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</si>
  <si>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</si>
  <si>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</si>
  <si>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</si>
  <si>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</si>
  <si>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</si>
  <si>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</si>
  <si>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</si>
  <si>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</si>
  <si>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</si>
  <si>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</si>
  <si>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</si>
  <si>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</si>
  <si>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</si>
  <si>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</si>
  <si>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</si>
  <si>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</si>
  <si>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</si>
  <si>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</si>
  <si>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</si>
  <si>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</si>
  <si>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</si>
  <si>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</si>
  <si>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</si>
  <si>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</si>
  <si>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</si>
  <si>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</si>
  <si>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</si>
  <si>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</si>
  <si>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</si>
  <si>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</si>
  <si>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</si>
  <si>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</si>
  <si>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</si>
  <si>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</si>
  <si>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</si>
  <si>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</si>
  <si>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</si>
  <si>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</si>
  <si>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</si>
  <si>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</si>
  <si>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</si>
  <si>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</si>
  <si>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</si>
  <si>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</si>
  <si>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</si>
  <si>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</si>
  <si>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</si>
  <si>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</si>
  <si>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</si>
  <si>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</si>
  <si>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</si>
  <si>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</si>
  <si>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</si>
  <si>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</si>
  <si>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</si>
  <si>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</si>
  <si>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</si>
  <si>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</si>
  <si>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</si>
  <si>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</si>
  <si>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</si>
  <si>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</si>
  <si>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</si>
  <si>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</si>
  <si>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</si>
  <si>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</si>
  <si>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</si>
  <si>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</si>
  <si>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</si>
  <si>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</si>
  <si>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</si>
  <si>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</si>
  <si>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</si>
  <si>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</si>
  <si>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</si>
  <si>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</si>
  <si>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</si>
  <si>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</si>
  <si>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</si>
  <si>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</si>
  <si>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</si>
  <si>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</si>
  <si>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</si>
  <si>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</si>
  <si>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</si>
  <si>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</si>
  <si>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</si>
  <si>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</si>
  <si>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</si>
  <si>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</si>
  <si>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</si>
  <si>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</si>
  <si>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</si>
  <si>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</si>
  <si>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</si>
  <si>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</si>
  <si>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</si>
  <si>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</si>
  <si>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</si>
  <si>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</si>
  <si>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</si>
  <si>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</si>
  <si>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</si>
  <si>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</si>
  <si>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</si>
  <si>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</si>
  <si>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</si>
  <si>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</si>
  <si>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</si>
  <si>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</si>
  <si>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</si>
  <si>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</si>
  <si>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</si>
  <si>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</si>
  <si>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</si>
  <si>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</si>
  <si>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</si>
  <si>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</si>
  <si>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</si>
  <si>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</si>
  <si>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</si>
  <si>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</si>
  <si>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</si>
  <si>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</si>
  <si>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</si>
  <si>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</si>
  <si>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</si>
  <si>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</si>
  <si>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</si>
  <si>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</si>
  <si>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</si>
  <si>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</si>
  <si>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</si>
  <si>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</si>
  <si>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</si>
  <si>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</si>
  <si>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</si>
  <si>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GIST</t>
  </si>
  <si>
    <t>A10</t>
  </si>
  <si>
    <t>(2)</t>
  </si>
  <si>
    <t>MIN</t>
  </si>
  <si>
    <t>5017210300042</t>
  </si>
  <si>
    <t>MB5340</t>
  </si>
  <si>
    <t>6,866</t>
  </si>
  <si>
    <t>4,814</t>
  </si>
  <si>
    <t>0,060</t>
  </si>
  <si>
    <t>07/2008</t>
  </si>
  <si>
    <t>GUIA ME JESUS</t>
  </si>
  <si>
    <t>PORTUGAL</t>
  </si>
  <si>
    <t>17 Cº</t>
  </si>
  <si>
    <t>18 Cº</t>
  </si>
  <si>
    <t>YES</t>
  </si>
  <si>
    <t>(3)</t>
  </si>
  <si>
    <t xml:space="preserve">inH2O [ ] inHg [   ] mbar [  ] </t>
  </si>
  <si>
    <t>AZ25-089</t>
  </si>
  <si>
    <t>04/25</t>
  </si>
  <si>
    <t>04/18</t>
  </si>
  <si>
    <t>1005 Hpa</t>
  </si>
  <si>
    <t>06/2027</t>
  </si>
  <si>
    <t>04/2027</t>
  </si>
  <si>
    <t>08/2027</t>
  </si>
  <si>
    <t xml:space="preserve"> 11/2028</t>
  </si>
  <si>
    <t>NADEA CABRAL CANDIDO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</si>
</sst>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45" workbookViewId="0">
      <selection activeCell="Q65" sqref="Q65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AZ25-089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RFD SEASAVA</v>
      </c>
      <c r="D12" s="156"/>
      <c r="E12" s="157"/>
      <c r="F12" s="147"/>
      <c r="G12" s="148">
        <f>QUADRO!J7</f>
        <v>6</v>
      </c>
      <c r="H12" s="147"/>
      <c r="I12" s="159" t="str">
        <f>QUADRO!C7</f>
        <v>5017210300042</v>
      </c>
      <c r="J12" s="160"/>
      <c r="K12" s="146" t="str">
        <f>QUADRO!G79</f>
        <v>07/2008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301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MB5340</v>
      </c>
      <c r="D19" s="180"/>
      <c r="E19" s="180"/>
      <c r="F19" s="181"/>
      <c r="G19" s="162">
        <f>QUADRO!I62</f>
        <v>1.98</v>
      </c>
      <c r="H19" s="162"/>
      <c r="I19" s="162" t="str">
        <f>QUADRO!I64</f>
        <v>0,060</v>
      </c>
      <c r="J19" s="162"/>
      <c r="K19" s="163" t="str">
        <f>QUADRO!I66</f>
        <v>04/18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MIN</v>
      </c>
      <c r="H26" s="193"/>
      <c r="I26" s="173" t="str">
        <f>QUADRO!C7</f>
        <v>5017210300042</v>
      </c>
      <c r="J26" s="174"/>
      <c r="K26" s="175">
        <f>QUADRO!F81+366</f>
        <v>46130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304</v>
      </c>
      <c r="H34" s="166"/>
      <c r="I34" s="165"/>
      <c r="J34" s="166"/>
      <c r="K34" s="173" t="str">
        <f>QUADRO!J13</f>
        <v>06/2027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325</v>
      </c>
      <c r="F40" s="190"/>
      <c r="G40" s="35" t="s">
        <v>52</v>
      </c>
      <c r="H40" s="166" t="s">
        <v>300</v>
      </c>
      <c r="I40" s="35" t="s">
        <v>73</v>
      </c>
      <c r="J40" s="166" t="s">
        <v>325</v>
      </c>
      <c r="K40" s="35" t="s">
        <v>52</v>
      </c>
      <c r="L40" s="166" t="s">
        <v>297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 t="s">
        <v>329</v>
      </c>
      <c r="F42" s="193"/>
      <c r="G42" s="35" t="s">
        <v>54</v>
      </c>
      <c r="H42" s="189"/>
      <c r="I42" s="35" t="s">
        <v>54</v>
      </c>
      <c r="J42" s="189" t="s">
        <v>329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45764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46129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7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7" ht="14.25" customHeight="1" x14ac:dyDescent="0.25">
      <c r="A50" s="4"/>
      <c r="B50" s="4"/>
      <c r="C50" s="188" t="s">
        <v>79</v>
      </c>
      <c r="D50" s="145"/>
      <c r="E50" s="145"/>
      <c r="F50" s="204" t="s">
        <v>309</v>
      </c>
      <c r="G50" s="205"/>
      <c r="H50" s="205"/>
      <c r="I50" s="205"/>
      <c r="J50" s="205"/>
      <c r="K50" s="205"/>
      <c r="L50" s="206"/>
      <c r="M50" s="4"/>
    </row>
    <row r="51" spans="1:17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7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7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7" ht="15" x14ac:dyDescent="0.25">
      <c r="A54" s="2"/>
      <c r="B54" s="210" t="s">
        <v>305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7" ht="15" x14ac:dyDescent="0.25">
      <c r="A55" s="2"/>
      <c r="B55" s="140" t="s">
        <v>306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7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7" s="24" customFormat="1" ht="14.1" customHeight="1" x14ac:dyDescent="0.25">
      <c r="A57" s="145" t="s">
        <v>84</v>
      </c>
      <c r="B57" s="145"/>
      <c r="C57" s="22"/>
      <c r="D57" s="142" t="s">
        <v>322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7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7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  <c r="Q59" s="24" t="s">
        <v>1</v>
      </c>
    </row>
    <row r="60" spans="1:17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82</v>
      </c>
      <c r="J60" s="195"/>
      <c r="K60" s="195"/>
      <c r="L60" s="195"/>
      <c r="M60" s="2"/>
    </row>
    <row r="61" spans="1:17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7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7" s="24" customFormat="1" ht="14.1" customHeight="1" x14ac:dyDescent="0.25">
      <c r="A63" s="145" t="s">
        <v>72</v>
      </c>
      <c r="B63" s="145"/>
      <c r="C63" s="22"/>
      <c r="D63" s="144" t="str">
        <f>QUADRO!E7</f>
        <v>GUIA ME JESUS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7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336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8" t="s">
        <v>308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37" zoomScale="48" zoomScaleNormal="48" workbookViewId="0">
      <selection activeCell="F64" sqref="F6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86</v>
      </c>
      <c r="E3" s="214"/>
      <c r="F3" s="214"/>
      <c r="G3" s="214"/>
      <c r="H3" s="215" t="s">
        <v>87</v>
      </c>
      <c r="I3" s="217"/>
      <c r="J3" s="218"/>
    </row>
    <row r="4" spans="2:15" s="58" customFormat="1" ht="23.4" customHeight="1" x14ac:dyDescent="0.4">
      <c r="B4" s="56" t="s">
        <v>88</v>
      </c>
      <c r="C4" s="57"/>
      <c r="D4" s="219" t="s">
        <v>89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90</v>
      </c>
      <c r="C5" s="56"/>
      <c r="H5" s="220" t="s">
        <v>91</v>
      </c>
      <c r="I5" s="222" t="s">
        <v>328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92</v>
      </c>
      <c r="C7" s="225" t="s">
        <v>315</v>
      </c>
      <c r="D7" s="59" t="s">
        <v>93</v>
      </c>
      <c r="E7" s="227" t="s">
        <v>321</v>
      </c>
      <c r="F7" s="228"/>
      <c r="G7" s="60" t="s">
        <v>94</v>
      </c>
      <c r="H7" s="227" t="s">
        <v>302</v>
      </c>
      <c r="I7" s="239"/>
      <c r="J7" s="242">
        <v>6</v>
      </c>
    </row>
    <row r="8" spans="2:15" ht="23.4" customHeight="1" x14ac:dyDescent="0.3">
      <c r="B8" s="61" t="s">
        <v>95</v>
      </c>
      <c r="C8" s="226"/>
      <c r="D8" s="61" t="s">
        <v>96</v>
      </c>
      <c r="E8" s="229"/>
      <c r="F8" s="230"/>
      <c r="G8" s="62" t="s">
        <v>97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 t="s">
        <v>298</v>
      </c>
      <c r="J13" s="83" t="s">
        <v>332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333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333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326</v>
      </c>
      <c r="J19" s="83" t="s">
        <v>334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299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312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313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303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314</v>
      </c>
      <c r="G47" s="61"/>
      <c r="H47" s="81"/>
      <c r="I47" s="105"/>
      <c r="J47" s="106" t="s">
        <v>329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311</v>
      </c>
      <c r="D49" s="61" t="s">
        <v>213</v>
      </c>
      <c r="E49" s="81"/>
      <c r="F49" s="80"/>
      <c r="G49" s="61"/>
      <c r="H49" s="109"/>
      <c r="I49" s="105"/>
      <c r="J49" s="106" t="s">
        <v>329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1" t="s">
        <v>232</v>
      </c>
      <c r="H56" s="232"/>
      <c r="I56" s="233" t="s">
        <v>316</v>
      </c>
      <c r="J56" s="235"/>
      <c r="M56" s="137"/>
    </row>
    <row r="57" spans="1:13" ht="23.4" customHeight="1" x14ac:dyDescent="0.4">
      <c r="B57" s="99" t="s">
        <v>233</v>
      </c>
      <c r="C57" s="114"/>
      <c r="D57" s="61" t="s">
        <v>322</v>
      </c>
      <c r="E57" s="81"/>
      <c r="F57" s="80"/>
      <c r="G57" s="237" t="s">
        <v>234</v>
      </c>
      <c r="H57" s="238"/>
      <c r="I57" s="234"/>
      <c r="J57" s="236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47" t="s">
        <v>237</v>
      </c>
      <c r="H58" s="248"/>
      <c r="I58" s="244" t="s">
        <v>317</v>
      </c>
      <c r="J58" s="245"/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37" t="s">
        <v>240</v>
      </c>
      <c r="H59" s="238"/>
      <c r="I59" s="234"/>
      <c r="J59" s="246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47" t="s">
        <v>243</v>
      </c>
      <c r="H60" s="248"/>
      <c r="I60" s="244" t="s">
        <v>318</v>
      </c>
      <c r="J60" s="245"/>
      <c r="M60" s="137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37" t="s">
        <v>246</v>
      </c>
      <c r="H61" s="238"/>
      <c r="I61" s="234"/>
      <c r="J61" s="246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49" t="s">
        <v>249</v>
      </c>
      <c r="H62" s="248"/>
      <c r="I62" s="250">
        <v>1.98</v>
      </c>
      <c r="J62" s="252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335</v>
      </c>
      <c r="G63" s="254" t="s">
        <v>252</v>
      </c>
      <c r="H63" s="238"/>
      <c r="I63" s="251"/>
      <c r="J63" s="253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47" t="s">
        <v>255</v>
      </c>
      <c r="H64" s="248"/>
      <c r="I64" s="244" t="s">
        <v>319</v>
      </c>
      <c r="J64" s="245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37" t="s">
        <v>258</v>
      </c>
      <c r="H65" s="238"/>
      <c r="I65" s="234"/>
      <c r="J65" s="246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49" t="s">
        <v>261</v>
      </c>
      <c r="H66" s="248"/>
      <c r="I66" s="244" t="s">
        <v>330</v>
      </c>
      <c r="J66" s="245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54" t="s">
        <v>264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265</v>
      </c>
      <c r="C69" s="117" t="s">
        <v>266</v>
      </c>
      <c r="D69" s="259" t="s">
        <v>327</v>
      </c>
      <c r="E69" s="260"/>
      <c r="F69" s="118" t="s">
        <v>267</v>
      </c>
      <c r="G69" s="119" t="s">
        <v>268</v>
      </c>
      <c r="H69" s="263" t="s">
        <v>323</v>
      </c>
      <c r="I69" s="119" t="s">
        <v>269</v>
      </c>
      <c r="J69" s="265" t="s">
        <v>324</v>
      </c>
    </row>
    <row r="70" spans="1:11" ht="21.6" customHeight="1" x14ac:dyDescent="0.3">
      <c r="B70" s="256"/>
      <c r="C70" s="120" t="s">
        <v>270</v>
      </c>
      <c r="D70" s="261"/>
      <c r="E70" s="262"/>
      <c r="F70" s="121" t="s">
        <v>271</v>
      </c>
      <c r="G70" s="122" t="s">
        <v>272</v>
      </c>
      <c r="H70" s="264"/>
      <c r="I70" s="122" t="s">
        <v>273</v>
      </c>
      <c r="J70" s="266"/>
    </row>
    <row r="71" spans="1:11" ht="21" x14ac:dyDescent="0.3">
      <c r="B71" s="257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63" t="s">
        <v>331</v>
      </c>
      <c r="I71" s="119" t="s">
        <v>269</v>
      </c>
      <c r="J71" s="263" t="s">
        <v>331</v>
      </c>
    </row>
    <row r="72" spans="1:11" ht="42" customHeight="1" x14ac:dyDescent="0.3">
      <c r="B72" s="258"/>
      <c r="C72" s="125">
        <v>0.625</v>
      </c>
      <c r="D72" s="125">
        <v>0.66666666666666663</v>
      </c>
      <c r="E72" s="126" t="s">
        <v>278</v>
      </c>
      <c r="F72" s="121" t="s">
        <v>279</v>
      </c>
      <c r="G72" s="127" t="s">
        <v>272</v>
      </c>
      <c r="H72" s="264"/>
      <c r="I72" s="127" t="s">
        <v>273</v>
      </c>
      <c r="J72" s="264"/>
    </row>
    <row r="73" spans="1:11" ht="21.6" customHeight="1" x14ac:dyDescent="0.3">
      <c r="B73" s="128" t="s">
        <v>280</v>
      </c>
      <c r="C73" s="270">
        <v>90.9</v>
      </c>
      <c r="D73" s="270">
        <v>90</v>
      </c>
      <c r="E73" s="272">
        <f>1-(D73/C73)</f>
        <v>9.9009900990099098E-3</v>
      </c>
      <c r="F73" s="274" t="s">
        <v>281</v>
      </c>
      <c r="G73" s="277"/>
      <c r="H73" s="278"/>
      <c r="I73" s="278"/>
      <c r="J73" s="279"/>
    </row>
    <row r="74" spans="1:11" ht="21.6" customHeight="1" x14ac:dyDescent="0.3">
      <c r="B74" s="129" t="s">
        <v>282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283</v>
      </c>
      <c r="C75" s="270">
        <v>89.8</v>
      </c>
      <c r="D75" s="270">
        <v>88.1</v>
      </c>
      <c r="E75" s="272">
        <f>1-(D75/C75)</f>
        <v>1.8930957683741645E-2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284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285</v>
      </c>
      <c r="C77" s="286"/>
      <c r="D77" s="286"/>
      <c r="E77" s="296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286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287</v>
      </c>
      <c r="C79" s="286"/>
      <c r="D79" s="286"/>
      <c r="E79" s="296" t="e">
        <f>1-(D79/C79)</f>
        <v>#DIV/0!</v>
      </c>
      <c r="F79" s="130" t="s">
        <v>288</v>
      </c>
      <c r="G79" s="298" t="s">
        <v>320</v>
      </c>
      <c r="H79" s="300"/>
      <c r="I79" s="301"/>
      <c r="J79" s="302"/>
      <c r="K79" s="55"/>
    </row>
    <row r="80" spans="1:11" ht="21" customHeight="1" x14ac:dyDescent="0.3">
      <c r="B80" s="129" t="s">
        <v>289</v>
      </c>
      <c r="C80" s="287"/>
      <c r="D80" s="287"/>
      <c r="E80" s="297"/>
      <c r="F80" s="131" t="s">
        <v>290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291</v>
      </c>
      <c r="C81" s="290" t="s">
        <v>307</v>
      </c>
      <c r="D81" s="292"/>
      <c r="E81" s="133" t="s">
        <v>292</v>
      </c>
      <c r="F81" s="288">
        <v>45764</v>
      </c>
      <c r="G81" s="133" t="s">
        <v>293</v>
      </c>
      <c r="H81" s="290" t="s">
        <v>310</v>
      </c>
      <c r="I81" s="291"/>
      <c r="J81" s="292"/>
      <c r="K81" s="74"/>
    </row>
    <row r="82" spans="1:11" ht="28.2" customHeight="1" x14ac:dyDescent="0.3">
      <c r="B82" s="134" t="s">
        <v>294</v>
      </c>
      <c r="C82" s="293"/>
      <c r="D82" s="295"/>
      <c r="E82" s="135" t="s">
        <v>295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2025-04-21T15:36:25Z</cp:lastPrinted>
  <dcterms:created xsi:type="dcterms:W3CDTF">2001-08-01T17:12:05Z</dcterms:created>
  <dcterms:modified xsi:type="dcterms:W3CDTF">2025-04-21T15:51:32Z</dcterms:modified>
</cp:coreProperties>
</file>