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8A458FB-F2F8-4722-9C9E-3653B108375E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K26" i="9" l="1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<sst xmlns="http://schemas.openxmlformats.org/spreadsheetml/2006/main" count="360" uniqueCount="325">
  <si>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</si>
  <si>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</si>
  <si>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</si>
  <si>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</si>
  <si>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</si>
  <si>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</si>
  <si>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</si>
  <si>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</si>
  <si>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</si>
  <si>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</si>
  <si>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</si>
  <si>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</si>
  <si>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</si>
  <si>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</si>
  <si>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</si>
  <si>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</si>
  <si>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</si>
  <si>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</si>
  <si>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</si>
  <si>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</si>
  <si>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</si>
  <si>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</si>
  <si>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</si>
  <si>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</si>
  <si>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</si>
  <si>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</si>
  <si>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</si>
  <si>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</si>
  <si>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</si>
  <si>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</si>
  <si>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</si>
  <si>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</si>
  <si>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</si>
  <si>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</si>
  <si>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</si>
  <si>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</si>
  <si>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</si>
  <si>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</si>
  <si>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</si>
  <si>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</si>
  <si>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</si>
  <si>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</si>
  <si>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</si>
  <si>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</si>
  <si>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</si>
  <si>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</si>
  <si>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</si>
  <si>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</si>
  <si>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</si>
  <si>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</si>
  <si>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</si>
  <si>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</si>
  <si>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</si>
  <si>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</si>
  <si>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</si>
  <si>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</si>
  <si>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</si>
  <si>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</si>
  <si>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</si>
  <si>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</si>
  <si>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</si>
  <si>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</si>
  <si>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</si>
  <si>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</si>
  <si>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</si>
  <si>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</si>
  <si>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</si>
  <si>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</si>
  <si>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</si>
  <si>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</si>
  <si>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</si>
  <si>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</si>
  <si>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</si>
  <si>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</si>
  <si>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</si>
  <si>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</si>
  <si>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</si>
  <si>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</si>
  <si>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</si>
  <si>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</si>
  <si>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</si>
  <si>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</si>
  <si>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</si>
  <si>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</si>
  <si>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</si>
  <si>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</si>
  <si>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</si>
  <si>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</si>
  <si>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</si>
  <si>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</si>
  <si>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</si>
  <si>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</si>
  <si>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</si>
  <si>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</si>
  <si>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</si>
  <si>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</si>
  <si>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</si>
  <si>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</si>
  <si>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</si>
  <si>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</si>
  <si>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</si>
  <si>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</si>
  <si>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</si>
  <si>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</si>
  <si>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</si>
  <si>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</si>
  <si>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</si>
  <si>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</si>
  <si>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</si>
  <si>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</si>
  <si>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</si>
  <si>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</si>
  <si>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</si>
  <si>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</si>
  <si>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</si>
  <si>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</si>
  <si>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</si>
  <si>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</si>
  <si>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</si>
  <si>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</si>
  <si>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</si>
  <si>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</si>
  <si>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</si>
  <si>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</si>
  <si>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</si>
  <si>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</si>
  <si>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</si>
  <si>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</si>
  <si>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</si>
  <si>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</si>
  <si>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</si>
  <si>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</si>
  <si>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</si>
  <si>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</si>
  <si>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</si>
  <si>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</si>
  <si>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</si>
  <si>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</si>
  <si>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</si>
  <si>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</si>
  <si>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</si>
  <si>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</si>
  <si>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</si>
  <si>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</si>
  <si>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</si>
  <si>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</si>
  <si>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</si>
  <si>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</si>
  <si>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</si>
  <si>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</si>
  <si>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</si>
  <si>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</si>
  <si>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</si>
  <si>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</si>
  <si>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</si>
  <si>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</si>
  <si>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</si>
  <si>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</si>
  <si>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</si>
  <si>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</si>
  <si>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</si>
  <si>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</si>
  <si>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</si>
  <si>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</si>
  <si>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</si>
  <si>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</si>
  <si>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</si>
  <si>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</si>
  <si>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</si>
  <si>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</si>
  <si>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</si>
  <si>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</si>
  <si>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</si>
  <si>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</si>
  <si>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</si>
  <si>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</si>
  <si>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</si>
  <si>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</si>
  <si>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</si>
  <si>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</si>
  <si>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</si>
  <si>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</si>
  <si>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</si>
  <si>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</si>
  <si>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</si>
  <si>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</si>
  <si>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</si>
  <si>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</si>
  <si>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</si>
  <si>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</si>
  <si>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</si>
  <si>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</si>
  <si>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</si>
  <si>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</si>
  <si>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</si>
  <si>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</si>
  <si>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</si>
  <si>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</si>
  <si>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</si>
  <si>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</si>
  <si>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</si>
  <si>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</si>
  <si>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</si>
  <si>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</si>
  <si>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</si>
  <si>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</si>
  <si>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</si>
  <si>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</si>
  <si>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</si>
  <si>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</si>
  <si>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</si>
  <si>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</si>
  <si>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</si>
  <si>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</si>
  <si>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</si>
  <si>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</si>
  <si>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</si>
  <si>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</si>
  <si>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</si>
  <si>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</si>
  <si>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</si>
  <si>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</si>
  <si>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</si>
  <si>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</si>
  <si>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</si>
  <si>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</si>
  <si>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</si>
  <si>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</si>
  <si>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</si>
  <si>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</si>
  <si>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</si>
  <si>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</si>
  <si>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</si>
  <si>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</si>
  <si>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</si>
  <si>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</si>
  <si>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</si>
  <si>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</si>
  <si>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</si>
  <si>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</si>
  <si>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</si>
  <si>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</si>
  <si>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</si>
  <si>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</si>
  <si>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</si>
  <si>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</si>
  <si>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</si>
  <si>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</si>
  <si>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</si>
  <si>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</si>
  <si>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</si>
  <si>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</si>
  <si>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</si>
  <si>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</si>
  <si>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</si>
  <si>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</si>
  <si>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</si>
  <si>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</si>
  <si>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</si>
  <si>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</si>
  <si>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</si>
  <si>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</si>
  <si>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</si>
  <si>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</si>
  <si>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</si>
  <si>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</si>
  <si>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</si>
  <si>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</si>
  <si>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</si>
  <si>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</si>
  <si>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</si>
  <si>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</si>
  <si>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</si>
  <si>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</si>
  <si>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</si>
  <si>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</si>
  <si>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</si>
  <si>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</si>
  <si>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</si>
  <si>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</si>
  <si>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</si>
  <si>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</si>
  <si>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</si>
  <si>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</si>
  <si>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</si>
  <si>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</si>
  <si>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</si>
  <si>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</si>
  <si>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</si>
  <si>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</si>
  <si>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</si>
  <si>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</si>
  <si>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</si>
  <si>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</si>
  <si>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</si>
  <si>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</si>
  <si>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</si>
  <si>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</si>
  <si>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</si>
  <si>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</si>
  <si>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</si>
  <si>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</si>
  <si>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</si>
  <si>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</si>
  <si>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</si>
  <si>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</si>
  <si>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</si>
  <si>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</si>
  <si>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1025 Hpa</t>
  </si>
  <si>
    <t>SEA-SAFE</t>
  </si>
  <si>
    <t>&lt; 24H</t>
  </si>
  <si>
    <t>17 Cº</t>
  </si>
  <si>
    <t>0,240</t>
  </si>
  <si>
    <t>DK99S</t>
  </si>
  <si>
    <t>ELIXIR</t>
  </si>
  <si>
    <t>PL-12-F0237</t>
  </si>
  <si>
    <t>08/2018</t>
  </si>
  <si>
    <t>B53188</t>
  </si>
  <si>
    <t>12,770</t>
  </si>
  <si>
    <t>=I60+I62+I64</t>
  </si>
  <si>
    <t>16,850</t>
  </si>
  <si>
    <t>07/17</t>
  </si>
  <si>
    <t>PORTUGAL</t>
  </si>
  <si>
    <t>AZOR DREAM SAIL, YATCH CENTER LDA</t>
  </si>
  <si>
    <t>AZ25-105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</si>
</sst>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AZ25-105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12</v>
      </c>
      <c r="H12" s="167"/>
      <c r="I12" s="211" t="str">
        <f>QUADRO!C7</f>
        <v>PL-12-F0237</v>
      </c>
      <c r="J12" s="212"/>
      <c r="K12" s="230" t="str">
        <f>QUADRO!G79</f>
        <v>08/2018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307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B53188</v>
      </c>
      <c r="D19" s="198"/>
      <c r="E19" s="198"/>
      <c r="F19" s="199"/>
      <c r="G19" s="227">
        <f>QUADRO!I62</f>
        <v>3.84</v>
      </c>
      <c r="H19" s="227"/>
      <c r="I19" s="227" t="str">
        <f>QUADRO!I64</f>
        <v>0,240</v>
      </c>
      <c r="J19" s="227"/>
      <c r="K19" s="228" t="str">
        <f>QUADRO!I66</f>
        <v>07/17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PL-12-F0237</v>
      </c>
      <c r="J26" s="210"/>
      <c r="K26" s="221">
        <f>QUADRO!F81+366+365+365</f>
        <v>46882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299</v>
      </c>
      <c r="F40" s="175"/>
      <c r="G40" s="52" t="s">
        <v>52</v>
      </c>
      <c r="H40" s="193" t="s">
        <v>299</v>
      </c>
      <c r="I40" s="52" t="s">
        <v>73</v>
      </c>
      <c r="J40" s="193" t="s">
        <v>299</v>
      </c>
      <c r="K40" s="52" t="s">
        <v>52</v>
      </c>
      <c r="L40" s="193" t="s">
        <v>296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45786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46882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304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322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ELIXIR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323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303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C7" sqref="C7:C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324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315</v>
      </c>
      <c r="D7" s="80" t="s">
        <v>93</v>
      </c>
      <c r="E7" s="309" t="s">
        <v>314</v>
      </c>
      <c r="F7" s="310"/>
      <c r="G7" s="81" t="s">
        <v>94</v>
      </c>
      <c r="H7" s="309" t="s">
        <v>309</v>
      </c>
      <c r="I7" s="318"/>
      <c r="J7" s="321">
        <v>12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298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300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310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313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297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317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322</v>
      </c>
      <c r="E57" s="104"/>
      <c r="F57" s="103"/>
      <c r="G57" s="306" t="s">
        <v>234</v>
      </c>
      <c r="H57" s="285"/>
      <c r="I57" s="281"/>
      <c r="J57" s="317"/>
    </row>
    <row r="58" spans="1:13" s="96" customFormat="1" ht="23.4" customHeight="1" x14ac:dyDescent="0.4">
      <c r="B58" s="107" t="s">
        <v>235</v>
      </c>
      <c r="C58" s="100"/>
      <c r="D58" s="80" t="s">
        <v>236</v>
      </c>
      <c r="E58" s="92"/>
      <c r="F58" s="93"/>
      <c r="G58" s="305" t="s">
        <v>237</v>
      </c>
      <c r="H58" s="279"/>
      <c r="I58" s="280" t="s">
        <v>320</v>
      </c>
      <c r="J58" s="282"/>
    </row>
    <row r="59" spans="1:13" ht="23.4" customHeight="1" x14ac:dyDescent="0.4">
      <c r="B59" s="84" t="s">
        <v>238</v>
      </c>
      <c r="C59" s="100"/>
      <c r="D59" s="82" t="s">
        <v>239</v>
      </c>
      <c r="E59" s="104"/>
      <c r="F59" s="141"/>
      <c r="G59" s="306" t="s">
        <v>240</v>
      </c>
      <c r="H59" s="285"/>
      <c r="I59" s="281"/>
      <c r="J59" s="283"/>
    </row>
    <row r="60" spans="1:13" s="96" customFormat="1" ht="23.4" customHeight="1" x14ac:dyDescent="0.4">
      <c r="B60" s="80" t="s">
        <v>241</v>
      </c>
      <c r="C60" s="93"/>
      <c r="D60" s="115" t="s">
        <v>242</v>
      </c>
      <c r="E60" s="116"/>
      <c r="F60" s="117"/>
      <c r="G60" s="305" t="s">
        <v>243</v>
      </c>
      <c r="H60" s="279"/>
      <c r="I60" s="280" t="s">
        <v>318</v>
      </c>
      <c r="J60" s="282"/>
      <c r="M60" s="163" t="s">
        <v>319</v>
      </c>
    </row>
    <row r="61" spans="1:13" ht="23.4" customHeight="1" x14ac:dyDescent="0.4">
      <c r="B61" s="82" t="s">
        <v>244</v>
      </c>
      <c r="C61" s="103"/>
      <c r="D61" s="125" t="s">
        <v>245</v>
      </c>
      <c r="E61" s="138"/>
      <c r="F61" s="140"/>
      <c r="G61" s="306" t="s">
        <v>246</v>
      </c>
      <c r="H61" s="285"/>
      <c r="I61" s="281"/>
      <c r="J61" s="283"/>
      <c r="M61" s="164"/>
    </row>
    <row r="62" spans="1:13" s="96" customFormat="1" ht="23.4" customHeight="1" x14ac:dyDescent="0.4">
      <c r="B62" s="107" t="s">
        <v>247</v>
      </c>
      <c r="C62" s="100"/>
      <c r="D62" s="80" t="s">
        <v>248</v>
      </c>
      <c r="E62" s="92"/>
      <c r="F62" s="93"/>
      <c r="G62" s="278" t="s">
        <v>249</v>
      </c>
      <c r="H62" s="279"/>
      <c r="I62" s="301">
        <v>3.84</v>
      </c>
      <c r="J62" s="303"/>
    </row>
    <row r="63" spans="1:13" ht="23.4" customHeight="1" x14ac:dyDescent="0.4">
      <c r="B63" s="84" t="s">
        <v>250</v>
      </c>
      <c r="C63" s="103"/>
      <c r="D63" s="82" t="s">
        <v>251</v>
      </c>
      <c r="E63" s="104"/>
      <c r="F63" s="106"/>
      <c r="G63" s="284" t="s">
        <v>252</v>
      </c>
      <c r="H63" s="285"/>
      <c r="I63" s="302"/>
      <c r="J63" s="304"/>
    </row>
    <row r="64" spans="1:13" ht="23.4" customHeight="1" x14ac:dyDescent="0.4">
      <c r="A64" s="96"/>
      <c r="B64" s="80" t="s">
        <v>253</v>
      </c>
      <c r="C64" s="100"/>
      <c r="D64" s="80" t="s">
        <v>254</v>
      </c>
      <c r="E64" s="142"/>
      <c r="F64" s="93"/>
      <c r="G64" s="305" t="s">
        <v>255</v>
      </c>
      <c r="H64" s="279"/>
      <c r="I64" s="280" t="s">
        <v>312</v>
      </c>
      <c r="J64" s="282"/>
      <c r="K64" s="96"/>
    </row>
    <row r="65" spans="1:11" ht="23.4" customHeight="1" x14ac:dyDescent="0.4">
      <c r="B65" s="84" t="s">
        <v>256</v>
      </c>
      <c r="C65" s="99"/>
      <c r="D65" s="82" t="s">
        <v>323</v>
      </c>
      <c r="E65" s="104"/>
      <c r="F65" s="135"/>
      <c r="G65" s="306" t="s">
        <v>257</v>
      </c>
      <c r="H65" s="285"/>
      <c r="I65" s="281"/>
      <c r="J65" s="283"/>
    </row>
    <row r="66" spans="1:11" ht="23.4" customHeight="1" x14ac:dyDescent="0.4">
      <c r="B66" s="80" t="s">
        <v>258</v>
      </c>
      <c r="C66" s="93"/>
      <c r="D66" s="80" t="s">
        <v>259</v>
      </c>
      <c r="E66" s="142"/>
      <c r="F66" s="93"/>
      <c r="G66" s="278" t="s">
        <v>260</v>
      </c>
      <c r="H66" s="279"/>
      <c r="I66" s="280" t="s">
        <v>321</v>
      </c>
      <c r="J66" s="282"/>
    </row>
    <row r="67" spans="1:11" ht="23.4" customHeight="1" x14ac:dyDescent="0.4">
      <c r="B67" s="82" t="s">
        <v>261</v>
      </c>
      <c r="C67" s="103"/>
      <c r="D67" s="82" t="s">
        <v>262</v>
      </c>
      <c r="E67" s="104"/>
      <c r="F67" s="106"/>
      <c r="G67" s="284" t="s">
        <v>263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264</v>
      </c>
      <c r="C69" s="143" t="s">
        <v>265</v>
      </c>
      <c r="D69" s="293" t="s">
        <v>302</v>
      </c>
      <c r="E69" s="294"/>
      <c r="F69" s="144" t="s">
        <v>266</v>
      </c>
      <c r="G69" s="145" t="s">
        <v>267</v>
      </c>
      <c r="H69" s="297" t="s">
        <v>311</v>
      </c>
      <c r="I69" s="145" t="s">
        <v>268</v>
      </c>
      <c r="J69" s="299" t="s">
        <v>311</v>
      </c>
    </row>
    <row r="70" spans="1:11" ht="21.6" customHeight="1" x14ac:dyDescent="0.3">
      <c r="B70" s="290"/>
      <c r="C70" s="146" t="s">
        <v>269</v>
      </c>
      <c r="D70" s="295"/>
      <c r="E70" s="296"/>
      <c r="F70" s="147" t="s">
        <v>270</v>
      </c>
      <c r="G70" s="148" t="s">
        <v>271</v>
      </c>
      <c r="H70" s="298"/>
      <c r="I70" s="148" t="s">
        <v>272</v>
      </c>
      <c r="J70" s="300"/>
    </row>
    <row r="71" spans="1:11" ht="21" x14ac:dyDescent="0.3">
      <c r="B71" s="291"/>
      <c r="C71" s="149" t="s">
        <v>273</v>
      </c>
      <c r="D71" s="150" t="s">
        <v>274</v>
      </c>
      <c r="E71" s="143" t="s">
        <v>275</v>
      </c>
      <c r="F71" s="144" t="s">
        <v>276</v>
      </c>
      <c r="G71" s="145" t="s">
        <v>267</v>
      </c>
      <c r="H71" s="297" t="s">
        <v>308</v>
      </c>
      <c r="I71" s="145" t="s">
        <v>268</v>
      </c>
      <c r="J71" s="297" t="s">
        <v>308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277</v>
      </c>
      <c r="F72" s="147" t="s">
        <v>278</v>
      </c>
      <c r="G72" s="153" t="s">
        <v>271</v>
      </c>
      <c r="H72" s="298"/>
      <c r="I72" s="153" t="s">
        <v>272</v>
      </c>
      <c r="J72" s="298"/>
    </row>
    <row r="73" spans="1:11" ht="21.6" customHeight="1" x14ac:dyDescent="0.3">
      <c r="B73" s="154" t="s">
        <v>279</v>
      </c>
      <c r="C73" s="262">
        <v>140</v>
      </c>
      <c r="D73" s="262">
        <v>138</v>
      </c>
      <c r="E73" s="264">
        <f>1-(D73/C73)</f>
        <v>1.4285714285714235E-2</v>
      </c>
      <c r="F73" s="266" t="s">
        <v>280</v>
      </c>
      <c r="G73" s="269"/>
      <c r="H73" s="270"/>
      <c r="I73" s="270"/>
      <c r="J73" s="271"/>
    </row>
    <row r="74" spans="1:11" ht="21.6" customHeight="1" x14ac:dyDescent="0.3">
      <c r="B74" s="155" t="s">
        <v>281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282</v>
      </c>
      <c r="C75" s="262">
        <v>151</v>
      </c>
      <c r="D75" s="262">
        <v>148</v>
      </c>
      <c r="E75" s="264">
        <f>1-(D75/C75)</f>
        <v>1.9867549668874163E-2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283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284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285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286</v>
      </c>
      <c r="C79" s="250"/>
      <c r="D79" s="250"/>
      <c r="E79" s="252" t="e">
        <f>1-(D79/C79)</f>
        <v>#DIV/0!</v>
      </c>
      <c r="F79" s="156" t="s">
        <v>287</v>
      </c>
      <c r="G79" s="254" t="s">
        <v>316</v>
      </c>
      <c r="H79" s="256"/>
      <c r="I79" s="257"/>
      <c r="J79" s="258"/>
      <c r="K79" s="76"/>
    </row>
    <row r="80" spans="1:11" ht="21" customHeight="1" x14ac:dyDescent="0.3">
      <c r="B80" s="155" t="s">
        <v>288</v>
      </c>
      <c r="C80" s="251"/>
      <c r="D80" s="251"/>
      <c r="E80" s="253"/>
      <c r="F80" s="157" t="s">
        <v>289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290</v>
      </c>
      <c r="C81" s="244" t="s">
        <v>301</v>
      </c>
      <c r="D81" s="246"/>
      <c r="E81" s="159" t="s">
        <v>291</v>
      </c>
      <c r="F81" s="242">
        <v>45786</v>
      </c>
      <c r="G81" s="159" t="s">
        <v>292</v>
      </c>
      <c r="H81" s="244" t="s">
        <v>305</v>
      </c>
      <c r="I81" s="245"/>
      <c r="J81" s="246"/>
      <c r="K81" s="96"/>
    </row>
    <row r="82" spans="1:11" ht="28.2" customHeight="1" x14ac:dyDescent="0.3">
      <c r="B82" s="160" t="s">
        <v>293</v>
      </c>
      <c r="C82" s="247"/>
      <c r="D82" s="249"/>
      <c r="E82" s="161" t="s">
        <v>294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295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2022-02-24T11:54:54Z</cp:lastPrinted>
  <dcterms:created xsi:type="dcterms:W3CDTF">2001-08-01T17:12:05Z</dcterms:created>
  <dcterms:modified xsi:type="dcterms:W3CDTF">2025-05-12T10:53:13Z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