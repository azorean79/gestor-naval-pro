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0FCBC9C-67EA-47AA-AB62-BEE551B8A1B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4" i="9" l="1"/>
  <c r="M58" i="10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K47" i="9" s="1"/>
  <c r="G26" i="9"/>
  <c r="I12" i="9"/>
  <c r="E75" i="10"/>
  <c r="E73" i="10"/>
</calcChain>
</file>

<file path=xl/sharedStrings.xml><?xml version="1.0" encoding="utf-8"?>
<sst xmlns="http://schemas.openxmlformats.org/spreadsheetml/2006/main" count="365" uniqueCount="332">
  <si>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</si>
  <si>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</si>
  <si>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</si>
  <si>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</si>
  <si>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</si>
  <si>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</si>
  <si>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</si>
  <si>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</si>
  <si>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</si>
  <si>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</si>
  <si>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</si>
  <si>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</si>
  <si>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</si>
  <si>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</si>
  <si>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</si>
  <si>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</si>
  <si>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</si>
  <si>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</si>
  <si>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</si>
  <si>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</si>
  <si>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</si>
  <si>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</si>
  <si>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</si>
  <si>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</si>
  <si>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</si>
  <si>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</si>
  <si>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</si>
  <si>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</si>
  <si>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</si>
  <si>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</si>
  <si>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</si>
  <si>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</si>
  <si>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</si>
  <si>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</si>
  <si>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</si>
  <si>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</si>
  <si>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</si>
  <si>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</si>
  <si>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</si>
  <si>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</si>
  <si>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</si>
  <si>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</si>
  <si>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</si>
  <si>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</si>
  <si>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</si>
  <si>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</si>
  <si>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</si>
  <si>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</si>
  <si>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</si>
  <si>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</si>
  <si>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</si>
  <si>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</si>
  <si>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</si>
  <si>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</si>
  <si>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</si>
  <si>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</si>
  <si>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</si>
  <si>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</si>
  <si>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</si>
  <si>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</si>
  <si>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</si>
  <si>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</si>
  <si>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</si>
  <si>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</si>
  <si>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</si>
  <si>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</si>
  <si>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</si>
  <si>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</si>
  <si>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</si>
  <si>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</si>
  <si>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</si>
  <si>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</si>
  <si>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</si>
  <si>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</si>
  <si>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</si>
  <si>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</si>
  <si>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</si>
  <si>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</si>
  <si>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</si>
  <si>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</si>
  <si>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</si>
  <si>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</si>
  <si>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</si>
  <si>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</si>
  <si>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</si>
  <si>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</si>
  <si>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</si>
  <si>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</si>
  <si>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</si>
  <si>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</si>
  <si>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</si>
  <si>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</si>
  <si>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</si>
  <si>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</si>
  <si>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</si>
  <si>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</si>
  <si>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</si>
  <si>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</si>
  <si>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</si>
  <si>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</si>
  <si>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</si>
  <si>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</si>
  <si>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</si>
  <si>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</si>
  <si>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</si>
  <si>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</si>
  <si>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</si>
  <si>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</si>
  <si>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</si>
  <si>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</si>
  <si>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</si>
  <si>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</si>
  <si>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</si>
  <si>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</si>
  <si>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</si>
  <si>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</si>
  <si>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</si>
  <si>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</si>
  <si>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</si>
  <si>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</si>
  <si>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</si>
  <si>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</si>
  <si>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</si>
  <si>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</si>
  <si>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</si>
  <si>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</si>
  <si>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</si>
  <si>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</si>
  <si>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</si>
  <si>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</si>
  <si>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</si>
  <si>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</si>
  <si>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</si>
  <si>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</si>
  <si>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</si>
  <si>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</si>
  <si>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</si>
  <si>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</si>
  <si>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</si>
  <si>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</si>
  <si>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</si>
  <si>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</si>
  <si>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</si>
  <si>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</si>
  <si>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</si>
  <si>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</si>
  <si>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</si>
  <si>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</si>
  <si>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</si>
  <si>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</si>
  <si>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</si>
  <si>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</si>
  <si>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</si>
  <si>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</si>
  <si>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</si>
  <si>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</si>
  <si>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</si>
  <si>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</si>
  <si>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</si>
  <si>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</si>
  <si>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</si>
  <si>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</si>
  <si>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</si>
  <si>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</si>
  <si>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</si>
  <si>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</si>
  <si>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</si>
  <si>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</si>
  <si>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</si>
  <si>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</si>
  <si>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</si>
  <si>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</si>
  <si>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</si>
  <si>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</si>
  <si>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</si>
  <si>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</si>
  <si>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</si>
  <si>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</si>
  <si>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</si>
  <si>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</si>
  <si>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</si>
  <si>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</si>
  <si>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</si>
  <si>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</si>
  <si>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</si>
  <si>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</si>
  <si>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</si>
  <si>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</si>
  <si>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</si>
  <si>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</si>
  <si>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</si>
  <si>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</si>
  <si>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</si>
  <si>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</si>
  <si>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</si>
  <si>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</si>
  <si>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</si>
  <si>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</si>
  <si>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</si>
  <si>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</si>
  <si>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</si>
  <si>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</si>
  <si>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</si>
  <si>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</si>
  <si>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</si>
  <si>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</si>
  <si>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</si>
  <si>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</si>
  <si>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</si>
  <si>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</si>
  <si>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</si>
  <si>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</si>
  <si>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</si>
  <si>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</si>
  <si>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</si>
  <si>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</si>
  <si>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</si>
  <si>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</si>
  <si>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</si>
  <si>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</si>
  <si>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</si>
  <si>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</si>
  <si>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</si>
  <si>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</si>
  <si>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</si>
  <si>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</si>
  <si>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</si>
  <si>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</si>
  <si>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</si>
  <si>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</si>
  <si>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</si>
  <si>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</si>
  <si>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</si>
  <si>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</si>
  <si>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</si>
  <si>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</si>
  <si>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</si>
  <si>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</si>
  <si>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</si>
  <si>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</si>
  <si>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</si>
  <si>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</si>
  <si>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</si>
  <si>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</si>
  <si>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</si>
  <si>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</si>
  <si>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</si>
  <si>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</si>
  <si>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</si>
  <si>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</si>
  <si>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</si>
  <si>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</si>
  <si>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</si>
  <si>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</si>
  <si>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</si>
  <si>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</si>
  <si>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</si>
  <si>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</si>
  <si>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</si>
  <si>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</si>
  <si>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</si>
  <si>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</si>
  <si>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</si>
  <si>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</si>
  <si>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</si>
  <si>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</si>
  <si>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</si>
  <si>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</si>
  <si>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</si>
  <si>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</si>
  <si>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</si>
  <si>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</si>
  <si>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</si>
  <si>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</si>
  <si>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</si>
  <si>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</si>
  <si>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</si>
  <si>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</si>
  <si>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</si>
  <si>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</si>
  <si>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</si>
  <si>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</si>
  <si>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</si>
  <si>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</si>
  <si>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</si>
  <si>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</si>
  <si>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</si>
  <si>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</si>
  <si>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</si>
  <si>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</si>
  <si>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</si>
  <si>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</si>
  <si>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</si>
  <si>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</si>
  <si>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</si>
  <si>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</si>
  <si>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</si>
  <si>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</si>
  <si>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</si>
  <si>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</si>
  <si>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</si>
  <si>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</si>
  <si>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</si>
  <si>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</si>
  <si>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</si>
  <si>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</si>
  <si>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</si>
  <si>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>~(2)</t>
  </si>
  <si>
    <t>0,160</t>
  </si>
  <si>
    <t xml:space="preserve">OREY TÉCNICA </t>
  </si>
  <si>
    <t>ok</t>
  </si>
  <si>
    <t>REPORT ANNEXED</t>
  </si>
  <si>
    <t>16 Cº</t>
  </si>
  <si>
    <t>16  Cº</t>
  </si>
  <si>
    <t xml:space="preserve">SOLAS </t>
  </si>
  <si>
    <t>5017330300324</t>
  </si>
  <si>
    <t>ISAC VENDEIRO</t>
  </si>
  <si>
    <t>16W384113</t>
  </si>
  <si>
    <t>12,399</t>
  </si>
  <si>
    <t>8,164</t>
  </si>
  <si>
    <t>09/16</t>
  </si>
  <si>
    <t>23-02-2017</t>
  </si>
  <si>
    <t>MIN</t>
  </si>
  <si>
    <t>BRUNO XAVIER PENACHO VIEIRA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</si>
  <si>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</si>
  <si>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1020 Hpa</t>
  </si>
  <si>
    <t>1020Hpa</t>
  </si>
  <si>
    <t>PORTUGAL</t>
  </si>
  <si>
    <t>AZ25-007</t>
  </si>
  <si>
    <t>04/2027</t>
  </si>
  <si>
    <t>06/2027</t>
  </si>
  <si>
    <t xml:space="preserve">inH2O [X ] inHg [   ] mbar []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</si>
</sst>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b/>
      <sz val="10"/>
      <color theme="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5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4" fillId="0" borderId="5" xfId="0" applyNumberFormat="1" applyFont="1" applyBorder="1" applyAlignment="1" applyProtection="1">
      <alignment horizontal="center" vertical="center"/>
      <protection locked="0"/>
    </xf>
    <xf numFmtId="1" fontId="24" fillId="0" borderId="6" xfId="0" applyNumberFormat="1" applyFont="1" applyBorder="1" applyAlignment="1" applyProtection="1">
      <alignment horizontal="center" vertical="center"/>
      <protection locked="0"/>
    </xf>
    <xf numFmtId="1" fontId="24" fillId="0" borderId="2" xfId="0" applyNumberFormat="1" applyFont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24" fillId="0" borderId="5" xfId="0" applyNumberFormat="1" applyFont="1" applyBorder="1" applyAlignment="1" applyProtection="1">
      <alignment horizontal="center" vertical="center"/>
      <protection locked="0"/>
    </xf>
    <xf numFmtId="49" fontId="24" fillId="0" borderId="6" xfId="0" applyNumberFormat="1" applyFont="1" applyBorder="1" applyAlignment="1" applyProtection="1">
      <alignment horizontal="center" vertical="center"/>
      <protection locked="0"/>
    </xf>
    <xf numFmtId="49" fontId="24" fillId="0" borderId="2" xfId="0" applyNumberFormat="1" applyFont="1" applyBorder="1" applyAlignment="1" applyProtection="1">
      <alignment horizontal="center" vertical="center"/>
      <protection locked="0"/>
    </xf>
    <xf numFmtId="49" fontId="24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47704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3095703" cy="5562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D57" sqref="D57:E5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7" t="s">
        <v>75</v>
      </c>
      <c r="J3" s="217"/>
      <c r="K3" s="213" t="str">
        <f>QUADRO!I5</f>
        <v>AZ25-007</v>
      </c>
      <c r="L3" s="21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8" t="s">
        <v>76</v>
      </c>
      <c r="J4" s="208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5" t="s">
        <v>67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6"/>
    </row>
    <row r="7" spans="1:13" x14ac:dyDescent="0.25">
      <c r="A7" s="208" t="s">
        <v>2</v>
      </c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4"/>
    </row>
    <row r="8" spans="1:13" ht="15" x14ac:dyDescent="0.25">
      <c r="A8" s="15"/>
      <c r="B8" s="216" t="s">
        <v>77</v>
      </c>
      <c r="C8" s="216"/>
      <c r="D8" s="216"/>
      <c r="E8" s="216"/>
      <c r="F8" s="216"/>
      <c r="G8" s="216"/>
      <c r="H8" s="216"/>
      <c r="I8" s="216"/>
      <c r="J8" s="216"/>
      <c r="K8" s="21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9" t="str">
        <f>QUADRO!H7</f>
        <v xml:space="preserve">RFD SEASAVA </v>
      </c>
      <c r="D12" s="140"/>
      <c r="E12" s="218"/>
      <c r="F12" s="141"/>
      <c r="G12" s="139">
        <f>QUADRO!J7</f>
        <v>8</v>
      </c>
      <c r="H12" s="141"/>
      <c r="I12" s="201" t="str">
        <f>QUADRO!C7</f>
        <v>5017330300324</v>
      </c>
      <c r="J12" s="202"/>
      <c r="K12" s="212" t="str">
        <f>QUADRO!G79</f>
        <v>23-02-2017</v>
      </c>
      <c r="L12" s="14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0" t="s">
        <v>304</v>
      </c>
      <c r="D15" s="150"/>
      <c r="E15" s="150"/>
      <c r="F15" s="151"/>
      <c r="G15" s="18">
        <v>10</v>
      </c>
      <c r="H15" s="12" t="s">
        <v>19</v>
      </c>
      <c r="I15" s="18">
        <v>1</v>
      </c>
      <c r="J15" s="12" t="s">
        <v>68</v>
      </c>
      <c r="K15" s="19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6" t="s">
        <v>6</v>
      </c>
      <c r="D17" s="166"/>
      <c r="E17" s="166"/>
      <c r="F17" s="26"/>
      <c r="G17" s="166" t="s">
        <v>21</v>
      </c>
      <c r="H17" s="166"/>
      <c r="I17" s="166" t="s">
        <v>22</v>
      </c>
      <c r="J17" s="166"/>
      <c r="K17" s="166" t="s">
        <v>23</v>
      </c>
      <c r="L17" s="166"/>
      <c r="M17" s="26"/>
    </row>
    <row r="18" spans="1:13" s="46" customFormat="1" ht="9.9" customHeight="1" x14ac:dyDescent="0.25">
      <c r="A18" s="8" t="s">
        <v>24</v>
      </c>
      <c r="B18" s="1"/>
      <c r="C18" s="208" t="s">
        <v>25</v>
      </c>
      <c r="D18" s="208"/>
      <c r="E18" s="208"/>
      <c r="F18" s="1"/>
      <c r="G18" s="208" t="s">
        <v>26</v>
      </c>
      <c r="H18" s="208"/>
      <c r="I18" s="208" t="s">
        <v>27</v>
      </c>
      <c r="J18" s="208"/>
      <c r="K18" s="208" t="s">
        <v>28</v>
      </c>
      <c r="L18" s="208"/>
      <c r="M18" s="1"/>
    </row>
    <row r="19" spans="1:13" ht="15" x14ac:dyDescent="0.25">
      <c r="A19" s="3"/>
      <c r="B19" s="3"/>
      <c r="C19" s="171" t="str">
        <f>QUADRO!I56</f>
        <v>16W384113</v>
      </c>
      <c r="D19" s="172"/>
      <c r="E19" s="172"/>
      <c r="F19" s="173"/>
      <c r="G19" s="209">
        <f>QUADRO!I62</f>
        <v>2.5</v>
      </c>
      <c r="H19" s="209"/>
      <c r="I19" s="209" t="str">
        <f>QUADRO!I64</f>
        <v>0,160</v>
      </c>
      <c r="J19" s="209"/>
      <c r="K19" s="210" t="str">
        <f>QUADRO!I66</f>
        <v>09/16</v>
      </c>
      <c r="L19" s="211"/>
      <c r="M19" s="3"/>
    </row>
    <row r="20" spans="1:13" ht="15" x14ac:dyDescent="0.25">
      <c r="A20" s="3"/>
      <c r="B20" s="3"/>
      <c r="C20" s="174"/>
      <c r="D20" s="172"/>
      <c r="E20" s="172"/>
      <c r="F20" s="173"/>
      <c r="G20" s="209"/>
      <c r="H20" s="209"/>
      <c r="I20" s="209"/>
      <c r="J20" s="209"/>
      <c r="K20" s="210"/>
      <c r="L20" s="211"/>
      <c r="M20" s="3"/>
    </row>
    <row r="21" spans="1:13" ht="15" x14ac:dyDescent="0.25">
      <c r="A21" s="3"/>
      <c r="B21" s="3"/>
      <c r="C21" s="175"/>
      <c r="D21" s="176"/>
      <c r="E21" s="176"/>
      <c r="F21" s="177"/>
      <c r="G21" s="207"/>
      <c r="H21" s="207"/>
      <c r="I21" s="207"/>
      <c r="J21" s="207"/>
      <c r="K21" s="207"/>
      <c r="L21" s="207"/>
      <c r="M21" s="3"/>
    </row>
    <row r="22" spans="1:13" ht="15" x14ac:dyDescent="0.25">
      <c r="A22" s="3"/>
      <c r="B22" s="3"/>
      <c r="C22" s="175"/>
      <c r="D22" s="176"/>
      <c r="E22" s="176"/>
      <c r="F22" s="177"/>
      <c r="G22" s="207"/>
      <c r="H22" s="207"/>
      <c r="I22" s="207"/>
      <c r="J22" s="207"/>
      <c r="K22" s="207"/>
      <c r="L22" s="207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6" t="s">
        <v>30</v>
      </c>
      <c r="D24" s="166"/>
      <c r="E24" s="166"/>
      <c r="F24" s="26"/>
      <c r="G24" s="166" t="s">
        <v>31</v>
      </c>
      <c r="H24" s="166"/>
      <c r="I24" s="166" t="s">
        <v>32</v>
      </c>
      <c r="J24" s="166"/>
      <c r="K24" s="166" t="s">
        <v>33</v>
      </c>
      <c r="L24" s="166"/>
      <c r="M24" s="25"/>
    </row>
    <row r="25" spans="1:13" s="46" customFormat="1" ht="9.75" customHeight="1" x14ac:dyDescent="0.25">
      <c r="A25" s="8" t="s">
        <v>81</v>
      </c>
      <c r="B25" s="8"/>
      <c r="C25" s="164"/>
      <c r="D25" s="164"/>
      <c r="E25" s="164"/>
      <c r="F25" s="8"/>
      <c r="G25" s="208" t="s">
        <v>34</v>
      </c>
      <c r="H25" s="208"/>
      <c r="I25" s="208" t="s">
        <v>25</v>
      </c>
      <c r="J25" s="208"/>
      <c r="K25" s="208" t="s">
        <v>35</v>
      </c>
      <c r="L25" s="208"/>
      <c r="M25" s="8"/>
    </row>
    <row r="26" spans="1:13" s="24" customFormat="1" ht="12.9" customHeight="1" x14ac:dyDescent="0.25">
      <c r="A26" s="25"/>
      <c r="B26" s="25"/>
      <c r="C26" s="181" t="s">
        <v>36</v>
      </c>
      <c r="D26" s="182"/>
      <c r="E26" s="182"/>
      <c r="F26" s="36"/>
      <c r="G26" s="196" t="str">
        <f>QUADRO!F47</f>
        <v>MIN</v>
      </c>
      <c r="H26" s="170"/>
      <c r="I26" s="199" t="str">
        <f>QUADRO!C7</f>
        <v>5017330300324</v>
      </c>
      <c r="J26" s="200"/>
      <c r="K26" s="203">
        <f>QUADRO!F81+365</f>
        <v>46037</v>
      </c>
      <c r="L26" s="204"/>
      <c r="M26" s="25"/>
    </row>
    <row r="27" spans="1:13" s="46" customFormat="1" ht="9.9" customHeight="1" x14ac:dyDescent="0.25">
      <c r="A27" s="8"/>
      <c r="B27" s="8"/>
      <c r="C27" s="187" t="s">
        <v>37</v>
      </c>
      <c r="D27" s="188"/>
      <c r="E27" s="188"/>
      <c r="F27" s="51"/>
      <c r="G27" s="139"/>
      <c r="H27" s="141"/>
      <c r="I27" s="201"/>
      <c r="J27" s="202"/>
      <c r="K27" s="205"/>
      <c r="L27" s="206"/>
      <c r="M27" s="8"/>
    </row>
    <row r="28" spans="1:13" s="24" customFormat="1" ht="12.9" customHeight="1" x14ac:dyDescent="0.25">
      <c r="A28" s="25"/>
      <c r="B28" s="25"/>
      <c r="C28" s="181" t="s">
        <v>38</v>
      </c>
      <c r="D28" s="182"/>
      <c r="E28" s="182"/>
      <c r="F28" s="36"/>
      <c r="G28" s="189"/>
      <c r="H28" s="167"/>
      <c r="I28" s="189"/>
      <c r="J28" s="167"/>
      <c r="K28" s="189"/>
      <c r="L28" s="167"/>
      <c r="M28" s="25"/>
    </row>
    <row r="29" spans="1:13" s="46" customFormat="1" ht="9.9" customHeight="1" x14ac:dyDescent="0.25">
      <c r="A29" s="8"/>
      <c r="B29" s="8"/>
      <c r="C29" s="187" t="s">
        <v>39</v>
      </c>
      <c r="D29" s="188"/>
      <c r="E29" s="188"/>
      <c r="F29" s="51"/>
      <c r="G29" s="197"/>
      <c r="H29" s="198"/>
      <c r="I29" s="197"/>
      <c r="J29" s="198"/>
      <c r="K29" s="197"/>
      <c r="L29" s="198"/>
      <c r="M29" s="8"/>
    </row>
    <row r="30" spans="1:13" s="24" customFormat="1" ht="12.9" customHeight="1" x14ac:dyDescent="0.25">
      <c r="A30" s="25"/>
      <c r="B30" s="25"/>
      <c r="C30" s="181" t="s">
        <v>40</v>
      </c>
      <c r="D30" s="182"/>
      <c r="E30" s="182"/>
      <c r="F30" s="36"/>
      <c r="G30" s="189"/>
      <c r="H30" s="167"/>
      <c r="I30" s="189"/>
      <c r="J30" s="167"/>
      <c r="K30" s="189"/>
      <c r="L30" s="167"/>
      <c r="M30" s="25"/>
    </row>
    <row r="31" spans="1:13" s="46" customFormat="1" ht="9.9" customHeight="1" x14ac:dyDescent="0.25">
      <c r="A31" s="8"/>
      <c r="B31" s="8"/>
      <c r="C31" s="187" t="s">
        <v>41</v>
      </c>
      <c r="D31" s="188"/>
      <c r="E31" s="188"/>
      <c r="F31" s="51"/>
      <c r="G31" s="197"/>
      <c r="H31" s="198"/>
      <c r="I31" s="197"/>
      <c r="J31" s="198"/>
      <c r="K31" s="197"/>
      <c r="L31" s="198"/>
      <c r="M31" s="8"/>
    </row>
    <row r="32" spans="1:13" s="24" customFormat="1" ht="12.9" customHeight="1" x14ac:dyDescent="0.25">
      <c r="A32" s="25"/>
      <c r="B32" s="25"/>
      <c r="C32" s="181" t="s">
        <v>42</v>
      </c>
      <c r="D32" s="182"/>
      <c r="E32" s="182"/>
      <c r="F32" s="36"/>
      <c r="G32" s="189"/>
      <c r="H32" s="149"/>
      <c r="I32" s="189"/>
      <c r="J32" s="167"/>
      <c r="K32" s="189" t="s">
        <v>1</v>
      </c>
      <c r="L32" s="167"/>
      <c r="M32" s="25"/>
    </row>
    <row r="33" spans="1:13" s="46" customFormat="1" ht="9.9" customHeight="1" x14ac:dyDescent="0.25">
      <c r="A33" s="8"/>
      <c r="B33" s="8"/>
      <c r="C33" s="187" t="s">
        <v>43</v>
      </c>
      <c r="D33" s="188"/>
      <c r="E33" s="188"/>
      <c r="F33" s="51"/>
      <c r="G33" s="190"/>
      <c r="H33" s="151"/>
      <c r="I33" s="197"/>
      <c r="J33" s="198"/>
      <c r="K33" s="197"/>
      <c r="L33" s="198"/>
      <c r="M33" s="8"/>
    </row>
    <row r="34" spans="1:13" s="24" customFormat="1" ht="12.75" customHeight="1" x14ac:dyDescent="0.25">
      <c r="A34" s="25"/>
      <c r="B34" s="25"/>
      <c r="C34" s="181" t="s">
        <v>44</v>
      </c>
      <c r="D34" s="182"/>
      <c r="E34" s="182"/>
      <c r="F34" s="36"/>
      <c r="G34" s="191" t="s">
        <v>314</v>
      </c>
      <c r="H34" s="192"/>
      <c r="I34" s="191"/>
      <c r="J34" s="192"/>
      <c r="K34" s="183">
        <f>QUADRO!J13</f>
        <v>0</v>
      </c>
      <c r="L34" s="184"/>
      <c r="M34" s="25"/>
    </row>
    <row r="35" spans="1:13" s="46" customFormat="1" ht="9.9" customHeight="1" x14ac:dyDescent="0.25">
      <c r="A35" s="8"/>
      <c r="B35" s="8"/>
      <c r="C35" s="187" t="s">
        <v>45</v>
      </c>
      <c r="D35" s="188"/>
      <c r="E35" s="188"/>
      <c r="F35" s="51"/>
      <c r="G35" s="193"/>
      <c r="H35" s="194"/>
      <c r="I35" s="193"/>
      <c r="J35" s="194"/>
      <c r="K35" s="185"/>
      <c r="L35" s="186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66" t="s">
        <v>47</v>
      </c>
      <c r="D38" s="166"/>
      <c r="E38" s="166"/>
      <c r="F38" s="26"/>
      <c r="G38" s="166" t="s">
        <v>48</v>
      </c>
      <c r="H38" s="166"/>
      <c r="I38" s="166" t="s">
        <v>49</v>
      </c>
      <c r="J38" s="166"/>
      <c r="K38" s="166" t="s">
        <v>50</v>
      </c>
      <c r="L38" s="1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8" t="s">
        <v>303</v>
      </c>
      <c r="F40" s="149"/>
      <c r="G40" s="35" t="s">
        <v>52</v>
      </c>
      <c r="H40" s="167" t="s">
        <v>303</v>
      </c>
      <c r="I40" s="35" t="s">
        <v>73</v>
      </c>
      <c r="J40" s="167" t="s">
        <v>303</v>
      </c>
      <c r="K40" s="35" t="s">
        <v>52</v>
      </c>
      <c r="L40" s="167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0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9"/>
      <c r="F42" s="170"/>
      <c r="G42" s="35" t="s">
        <v>54</v>
      </c>
      <c r="H42" s="168"/>
      <c r="I42" s="35" t="s">
        <v>54</v>
      </c>
      <c r="J42" s="168"/>
      <c r="K42" s="35" t="s">
        <v>54</v>
      </c>
      <c r="L42" s="16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0"/>
      <c r="F43" s="141"/>
      <c r="G43" s="49" t="s">
        <v>55</v>
      </c>
      <c r="H43" s="141"/>
      <c r="I43" s="49" t="s">
        <v>55</v>
      </c>
      <c r="J43" s="141"/>
      <c r="K43" s="49" t="s">
        <v>55</v>
      </c>
      <c r="L43" s="14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3">
        <f>QUADRO!F81</f>
        <v>45672</v>
      </c>
      <c r="D47" s="152"/>
      <c r="E47" s="152"/>
      <c r="F47" s="153"/>
      <c r="G47" s="139" t="str">
        <f>QUADRO!C81</f>
        <v xml:space="preserve">OREY TÉCNICA </v>
      </c>
      <c r="H47" s="140"/>
      <c r="I47" s="140"/>
      <c r="J47" s="141"/>
      <c r="K47" s="143">
        <f>C47+365</f>
        <v>46037</v>
      </c>
      <c r="L47" s="14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8" t="s">
        <v>78</v>
      </c>
      <c r="D49" s="179"/>
      <c r="E49" s="179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0" t="s">
        <v>79</v>
      </c>
      <c r="D50" s="163"/>
      <c r="E50" s="163"/>
      <c r="F50" s="154" t="s">
        <v>311</v>
      </c>
      <c r="G50" s="155"/>
      <c r="H50" s="155"/>
      <c r="I50" s="155"/>
      <c r="J50" s="155"/>
      <c r="K50" s="155"/>
      <c r="L50" s="156"/>
      <c r="M50" s="4"/>
    </row>
    <row r="51" spans="1:13" ht="12.75" customHeight="1" x14ac:dyDescent="0.25">
      <c r="A51" s="4"/>
      <c r="B51" s="4"/>
      <c r="C51" s="144"/>
      <c r="D51" s="145"/>
      <c r="E51" s="145"/>
      <c r="F51" s="154"/>
      <c r="G51" s="155"/>
      <c r="H51" s="155"/>
      <c r="I51" s="155"/>
      <c r="J51" s="155"/>
      <c r="K51" s="155"/>
      <c r="L51" s="156"/>
      <c r="M51" s="4"/>
    </row>
    <row r="52" spans="1:13" ht="15" customHeight="1" x14ac:dyDescent="0.25">
      <c r="A52" s="2"/>
      <c r="B52" s="2"/>
      <c r="C52" s="146"/>
      <c r="D52" s="147"/>
      <c r="E52" s="147"/>
      <c r="F52" s="157"/>
      <c r="G52" s="158"/>
      <c r="H52" s="158"/>
      <c r="I52" s="158"/>
      <c r="J52" s="158"/>
      <c r="K52" s="158"/>
      <c r="L52" s="15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0" t="s">
        <v>80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2"/>
    </row>
    <row r="55" spans="1:13" ht="15" x14ac:dyDescent="0.25">
      <c r="A55" s="2"/>
      <c r="B55" s="208" t="s">
        <v>82</v>
      </c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3" t="s">
        <v>86</v>
      </c>
      <c r="B57" s="163"/>
      <c r="C57" s="22"/>
      <c r="D57" s="220" t="s">
        <v>327</v>
      </c>
      <c r="E57" s="22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4" t="s">
        <v>64</v>
      </c>
      <c r="B58" s="164"/>
      <c r="C58" s="22"/>
      <c r="D58" s="220"/>
      <c r="E58" s="22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3" t="s">
        <v>65</v>
      </c>
      <c r="B59" s="163"/>
      <c r="C59" s="41" t="s">
        <v>1</v>
      </c>
      <c r="D59" s="221"/>
      <c r="E59" s="221"/>
      <c r="F59" s="45"/>
      <c r="G59" s="28"/>
      <c r="H59" s="27"/>
      <c r="I59" s="162" t="s">
        <v>74</v>
      </c>
      <c r="J59" s="162"/>
      <c r="K59" s="162"/>
      <c r="L59" s="162"/>
      <c r="M59" s="23"/>
    </row>
    <row r="60" spans="1:13" ht="9.75" customHeight="1" x14ac:dyDescent="0.25">
      <c r="A60" s="165"/>
      <c r="B60" s="165"/>
      <c r="C60" s="41"/>
      <c r="D60" s="221"/>
      <c r="E60" s="221"/>
      <c r="F60" s="45"/>
      <c r="G60" s="11"/>
      <c r="H60" s="3"/>
      <c r="I60" s="142" t="s">
        <v>84</v>
      </c>
      <c r="J60" s="142"/>
      <c r="K60" s="142"/>
      <c r="L60" s="142"/>
      <c r="M60" s="2"/>
    </row>
    <row r="61" spans="1:13" s="24" customFormat="1" ht="14.1" customHeight="1" x14ac:dyDescent="0.25">
      <c r="A61" s="40" t="s">
        <v>87</v>
      </c>
      <c r="B61" s="40"/>
      <c r="C61" s="22"/>
      <c r="D61" s="220"/>
      <c r="E61" s="22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4" t="s">
        <v>66</v>
      </c>
      <c r="B62" s="164"/>
      <c r="C62" s="22"/>
      <c r="D62" s="220"/>
      <c r="E62" s="22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3" t="s">
        <v>72</v>
      </c>
      <c r="B63" s="163"/>
      <c r="C63" s="22"/>
      <c r="D63" s="222" t="str">
        <f>QUADRO!E7</f>
        <v>ISAC VENDEIRO</v>
      </c>
      <c r="E63" s="222"/>
      <c r="F63" s="222"/>
      <c r="G63" s="222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4" t="s">
        <v>71</v>
      </c>
      <c r="B64" s="164"/>
      <c r="C64" s="22"/>
      <c r="D64" s="222"/>
      <c r="E64" s="222"/>
      <c r="F64" s="222"/>
      <c r="G64" s="222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3" t="s">
        <v>69</v>
      </c>
      <c r="B65" s="163"/>
      <c r="C65" s="22"/>
      <c r="D65" s="220" t="s">
        <v>323</v>
      </c>
      <c r="E65" s="220"/>
      <c r="F65" s="220"/>
      <c r="G65" s="220"/>
      <c r="H65" s="220"/>
      <c r="I65" s="220"/>
      <c r="J65" s="161"/>
      <c r="K65" s="161"/>
      <c r="L65" s="23"/>
      <c r="M65" s="23"/>
    </row>
    <row r="66" spans="1:13" s="46" customFormat="1" ht="9.9" customHeight="1" x14ac:dyDescent="0.25">
      <c r="A66" s="164" t="s">
        <v>70</v>
      </c>
      <c r="B66" s="164"/>
      <c r="C66" s="22"/>
      <c r="D66" s="220"/>
      <c r="E66" s="220"/>
      <c r="F66" s="220"/>
      <c r="G66" s="220"/>
      <c r="H66" s="220"/>
      <c r="I66" s="220"/>
      <c r="J66" s="208" t="s">
        <v>0</v>
      </c>
      <c r="K66" s="208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3.2" customHeight="1" x14ac:dyDescent="0.25">
      <c r="A69" s="219" t="s">
        <v>324</v>
      </c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</row>
    <row r="70" spans="1:13" x14ac:dyDescent="0.25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</row>
    <row r="71" spans="1:13" x14ac:dyDescent="0.25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</row>
    <row r="72" spans="1:13" x14ac:dyDescent="0.25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</row>
    <row r="73" spans="1:13" x14ac:dyDescent="0.25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</row>
    <row r="74" spans="1:13" x14ac:dyDescent="0.25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</row>
    <row r="75" spans="1:13" x14ac:dyDescent="0.25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</row>
    <row r="76" spans="1:13" x14ac:dyDescent="0.25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</row>
    <row r="77" spans="1:13" x14ac:dyDescent="0.25">
      <c r="G77" s="216" t="s">
        <v>83</v>
      </c>
      <c r="H77" s="21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4" t="s">
        <v>88</v>
      </c>
      <c r="E3" s="304"/>
      <c r="F3" s="304"/>
      <c r="G3" s="304"/>
      <c r="H3" s="305" t="s">
        <v>89</v>
      </c>
      <c r="I3" s="307"/>
      <c r="J3" s="308"/>
    </row>
    <row r="4" spans="2:15" s="58" customFormat="1" ht="23.4" customHeight="1" x14ac:dyDescent="0.4">
      <c r="B4" s="56" t="s">
        <v>90</v>
      </c>
      <c r="C4" s="57"/>
      <c r="D4" s="309" t="s">
        <v>91</v>
      </c>
      <c r="E4" s="309"/>
      <c r="F4" s="309"/>
      <c r="G4" s="309"/>
      <c r="H4" s="306"/>
      <c r="I4" s="308"/>
      <c r="J4" s="308"/>
    </row>
    <row r="5" spans="2:15" s="58" customFormat="1" ht="23.4" customHeight="1" x14ac:dyDescent="0.4">
      <c r="B5" s="56" t="s">
        <v>92</v>
      </c>
      <c r="C5" s="56"/>
      <c r="H5" s="310" t="s">
        <v>93</v>
      </c>
      <c r="I5" s="312" t="s">
        <v>328</v>
      </c>
      <c r="J5" s="31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1"/>
      <c r="I6" s="314"/>
      <c r="J6" s="314"/>
    </row>
    <row r="7" spans="2:15" ht="23.4" customHeight="1" x14ac:dyDescent="0.3">
      <c r="B7" s="59" t="s">
        <v>94</v>
      </c>
      <c r="C7" s="288" t="s">
        <v>315</v>
      </c>
      <c r="D7" s="59" t="s">
        <v>95</v>
      </c>
      <c r="E7" s="290" t="s">
        <v>316</v>
      </c>
      <c r="F7" s="291"/>
      <c r="G7" s="60" t="s">
        <v>96</v>
      </c>
      <c r="H7" s="290" t="s">
        <v>305</v>
      </c>
      <c r="I7" s="299"/>
      <c r="J7" s="302">
        <v>8</v>
      </c>
    </row>
    <row r="8" spans="2:15" ht="23.4" customHeight="1" x14ac:dyDescent="0.3">
      <c r="B8" s="61" t="s">
        <v>97</v>
      </c>
      <c r="C8" s="289"/>
      <c r="D8" s="61" t="s">
        <v>98</v>
      </c>
      <c r="E8" s="292"/>
      <c r="F8" s="293"/>
      <c r="G8" s="62" t="s">
        <v>99</v>
      </c>
      <c r="H8" s="300"/>
      <c r="I8" s="301"/>
      <c r="J8" s="30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2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2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2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329</v>
      </c>
      <c r="L19" s="138">
        <v>45383</v>
      </c>
    </row>
    <row r="20" spans="2:12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2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2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2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2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2" ht="23.4" customHeight="1" x14ac:dyDescent="0.4">
      <c r="B25" s="61" t="s">
        <v>144</v>
      </c>
      <c r="C25" s="80"/>
      <c r="D25" s="61" t="s">
        <v>145</v>
      </c>
      <c r="E25" s="81"/>
      <c r="F25" s="83" t="s">
        <v>330</v>
      </c>
      <c r="G25" s="61" t="s">
        <v>146</v>
      </c>
      <c r="H25" s="81"/>
      <c r="I25" s="82"/>
      <c r="J25" s="83" t="s">
        <v>302</v>
      </c>
    </row>
    <row r="26" spans="2:12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2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2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2" ht="23.4" customHeight="1" x14ac:dyDescent="0.4">
      <c r="B29" s="61" t="s">
        <v>156</v>
      </c>
      <c r="C29" s="83" t="s">
        <v>330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2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2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2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/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307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322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4" t="s">
        <v>234</v>
      </c>
      <c r="H56" s="295"/>
      <c r="I56" s="296" t="s">
        <v>317</v>
      </c>
      <c r="J56" s="297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7" t="s">
        <v>237</v>
      </c>
      <c r="H57" s="266"/>
      <c r="I57" s="262"/>
      <c r="J57" s="298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6" t="s">
        <v>240</v>
      </c>
      <c r="H58" s="260"/>
      <c r="I58" s="261" t="s">
        <v>318</v>
      </c>
      <c r="J58" s="263"/>
      <c r="M58" s="137">
        <f>I58-I62-I64</f>
        <v>9.738999999999999</v>
      </c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7" t="s">
        <v>243</v>
      </c>
      <c r="H59" s="266"/>
      <c r="I59" s="262"/>
      <c r="J59" s="264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6" t="s">
        <v>246</v>
      </c>
      <c r="H60" s="260"/>
      <c r="I60" s="261" t="s">
        <v>319</v>
      </c>
      <c r="J60" s="263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7" t="s">
        <v>249</v>
      </c>
      <c r="H61" s="266"/>
      <c r="I61" s="262"/>
      <c r="J61" s="264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9" t="s">
        <v>252</v>
      </c>
      <c r="H62" s="260"/>
      <c r="I62" s="282">
        <v>2.5</v>
      </c>
      <c r="J62" s="284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5" t="s">
        <v>255</v>
      </c>
      <c r="H63" s="266"/>
      <c r="I63" s="283"/>
      <c r="J63" s="285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6" t="s">
        <v>258</v>
      </c>
      <c r="H64" s="260"/>
      <c r="I64" s="261" t="s">
        <v>308</v>
      </c>
      <c r="J64" s="263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7" t="s">
        <v>261</v>
      </c>
      <c r="H65" s="266"/>
      <c r="I65" s="262"/>
      <c r="J65" s="264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9" t="s">
        <v>264</v>
      </c>
      <c r="H66" s="260"/>
      <c r="I66" s="261" t="s">
        <v>320</v>
      </c>
      <c r="J66" s="263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5" t="s">
        <v>267</v>
      </c>
      <c r="H67" s="266"/>
      <c r="I67" s="262"/>
      <c r="J67" s="264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70" t="s">
        <v>268</v>
      </c>
      <c r="C69" s="117" t="s">
        <v>269</v>
      </c>
      <c r="D69" s="274" t="s">
        <v>331</v>
      </c>
      <c r="E69" s="275"/>
      <c r="F69" s="118" t="s">
        <v>270</v>
      </c>
      <c r="G69" s="119" t="s">
        <v>271</v>
      </c>
      <c r="H69" s="278" t="s">
        <v>312</v>
      </c>
      <c r="I69" s="119" t="s">
        <v>272</v>
      </c>
      <c r="J69" s="280" t="s">
        <v>313</v>
      </c>
    </row>
    <row r="70" spans="1:11" ht="21.6" customHeight="1" x14ac:dyDescent="0.3">
      <c r="B70" s="271"/>
      <c r="C70" s="120" t="s">
        <v>273</v>
      </c>
      <c r="D70" s="276"/>
      <c r="E70" s="277"/>
      <c r="F70" s="121" t="s">
        <v>274</v>
      </c>
      <c r="G70" s="122" t="s">
        <v>275</v>
      </c>
      <c r="H70" s="279"/>
      <c r="I70" s="122" t="s">
        <v>276</v>
      </c>
      <c r="J70" s="281"/>
    </row>
    <row r="71" spans="1:11" ht="21" x14ac:dyDescent="0.3">
      <c r="B71" s="272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8" t="s">
        <v>325</v>
      </c>
      <c r="I71" s="119" t="s">
        <v>272</v>
      </c>
      <c r="J71" s="278" t="s">
        <v>326</v>
      </c>
    </row>
    <row r="72" spans="1:11" ht="42" customHeight="1" x14ac:dyDescent="0.3">
      <c r="B72" s="273"/>
      <c r="C72" s="125">
        <v>0.45833333333333331</v>
      </c>
      <c r="D72" s="125">
        <v>0.5</v>
      </c>
      <c r="E72" s="126" t="s">
        <v>281</v>
      </c>
      <c r="F72" s="121" t="s">
        <v>282</v>
      </c>
      <c r="G72" s="127" t="s">
        <v>275</v>
      </c>
      <c r="H72" s="279"/>
      <c r="I72" s="127" t="s">
        <v>276</v>
      </c>
      <c r="J72" s="279"/>
    </row>
    <row r="73" spans="1:11" ht="21.6" customHeight="1" x14ac:dyDescent="0.3">
      <c r="B73" s="128" t="s">
        <v>283</v>
      </c>
      <c r="C73" s="243">
        <v>97.5</v>
      </c>
      <c r="D73" s="243">
        <v>96.4</v>
      </c>
      <c r="E73" s="245">
        <f>1-(D73/C73)</f>
        <v>1.1282051282051175E-2</v>
      </c>
      <c r="F73" s="247" t="s">
        <v>284</v>
      </c>
      <c r="G73" s="250"/>
      <c r="H73" s="251"/>
      <c r="I73" s="251"/>
      <c r="J73" s="252"/>
    </row>
    <row r="74" spans="1:11" ht="21.6" customHeight="1" x14ac:dyDescent="0.3">
      <c r="B74" s="129" t="s">
        <v>285</v>
      </c>
      <c r="C74" s="244"/>
      <c r="D74" s="244"/>
      <c r="E74" s="246"/>
      <c r="F74" s="248"/>
      <c r="G74" s="253"/>
      <c r="H74" s="254"/>
      <c r="I74" s="254"/>
      <c r="J74" s="255"/>
    </row>
    <row r="75" spans="1:11" ht="21.6" customHeight="1" x14ac:dyDescent="0.3">
      <c r="B75" s="128" t="s">
        <v>286</v>
      </c>
      <c r="C75" s="243">
        <v>92.1</v>
      </c>
      <c r="D75" s="243">
        <v>91</v>
      </c>
      <c r="E75" s="245">
        <f>1-(D75/C75)</f>
        <v>1.1943539630835942E-2</v>
      </c>
      <c r="F75" s="248"/>
      <c r="G75" s="253"/>
      <c r="H75" s="254"/>
      <c r="I75" s="254"/>
      <c r="J75" s="255"/>
    </row>
    <row r="76" spans="1:11" ht="21.6" customHeight="1" x14ac:dyDescent="0.3">
      <c r="B76" s="129" t="s">
        <v>287</v>
      </c>
      <c r="C76" s="244"/>
      <c r="D76" s="244"/>
      <c r="E76" s="246"/>
      <c r="F76" s="248"/>
      <c r="G76" s="253"/>
      <c r="H76" s="254"/>
      <c r="I76" s="254"/>
      <c r="J76" s="255"/>
    </row>
    <row r="77" spans="1:11" ht="21" customHeight="1" x14ac:dyDescent="0.3">
      <c r="B77" s="128" t="s">
        <v>288</v>
      </c>
      <c r="C77" s="231"/>
      <c r="D77" s="231"/>
      <c r="E77" s="233" t="s">
        <v>310</v>
      </c>
      <c r="F77" s="248"/>
      <c r="G77" s="253"/>
      <c r="H77" s="254"/>
      <c r="I77" s="254"/>
      <c r="J77" s="255"/>
    </row>
    <row r="78" spans="1:11" ht="21" customHeight="1" x14ac:dyDescent="0.3">
      <c r="B78" s="129" t="s">
        <v>289</v>
      </c>
      <c r="C78" s="232"/>
      <c r="D78" s="232"/>
      <c r="E78" s="234"/>
      <c r="F78" s="249"/>
      <c r="G78" s="256"/>
      <c r="H78" s="257"/>
      <c r="I78" s="257"/>
      <c r="J78" s="258"/>
    </row>
    <row r="79" spans="1:11" s="74" customFormat="1" ht="21.6" customHeight="1" x14ac:dyDescent="0.3">
      <c r="A79" s="55"/>
      <c r="B79" s="128" t="s">
        <v>290</v>
      </c>
      <c r="C79" s="231"/>
      <c r="D79" s="231"/>
      <c r="E79" s="233" t="s">
        <v>1</v>
      </c>
      <c r="F79" s="130" t="s">
        <v>291</v>
      </c>
      <c r="G79" s="235" t="s">
        <v>321</v>
      </c>
      <c r="H79" s="237"/>
      <c r="I79" s="238"/>
      <c r="J79" s="239"/>
      <c r="K79" s="55"/>
    </row>
    <row r="80" spans="1:11" ht="21" customHeight="1" x14ac:dyDescent="0.3">
      <c r="B80" s="129" t="s">
        <v>292</v>
      </c>
      <c r="C80" s="232"/>
      <c r="D80" s="232"/>
      <c r="E80" s="234"/>
      <c r="F80" s="131" t="s">
        <v>293</v>
      </c>
      <c r="G80" s="236"/>
      <c r="H80" s="240"/>
      <c r="I80" s="241"/>
      <c r="J80" s="242"/>
    </row>
    <row r="81" spans="1:11" ht="30" customHeight="1" x14ac:dyDescent="0.3">
      <c r="A81" s="74"/>
      <c r="B81" s="132" t="s">
        <v>294</v>
      </c>
      <c r="C81" s="225" t="s">
        <v>309</v>
      </c>
      <c r="D81" s="227"/>
      <c r="E81" s="133" t="s">
        <v>295</v>
      </c>
      <c r="F81" s="223">
        <v>45672</v>
      </c>
      <c r="G81" s="133" t="s">
        <v>296</v>
      </c>
      <c r="H81" s="225"/>
      <c r="I81" s="226"/>
      <c r="J81" s="227"/>
      <c r="K81" s="74"/>
    </row>
    <row r="82" spans="1:11" ht="28.2" customHeight="1" x14ac:dyDescent="0.3">
      <c r="B82" s="134" t="s">
        <v>297</v>
      </c>
      <c r="C82" s="228"/>
      <c r="D82" s="230"/>
      <c r="E82" s="135" t="s">
        <v>298</v>
      </c>
      <c r="F82" s="224"/>
      <c r="G82" s="135" t="s">
        <v>0</v>
      </c>
      <c r="H82" s="228"/>
      <c r="I82" s="229"/>
      <c r="J82" s="230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2023-02-07T16:45:42Z</cp:lastPrinted>
  <dcterms:created xsi:type="dcterms:W3CDTF">2001-08-01T17:12:05Z</dcterms:created>
  <dcterms:modified xsi:type="dcterms:W3CDTF">2025-01-16T10:48:06Z</dcterms:modified>
</cp:coreProperties>
</file>