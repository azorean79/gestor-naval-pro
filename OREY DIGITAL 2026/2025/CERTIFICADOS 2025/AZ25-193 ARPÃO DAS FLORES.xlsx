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4A35F61F-B973-4D29-A550-A5EAD6F0B776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D63" i="9" l="1"/>
  <c r="M61" i="10" l="1"/>
  <c r="K26" i="9"/>
  <c r="G12" i="9" l="1"/>
  <c r="G47" i="9" l="1"/>
  <c r="K3" i="9"/>
  <c r="L42" i="9"/>
  <c r="K12" i="9"/>
  <c r="C12" i="9"/>
  <c r="I26" i="9"/>
  <c r="K19" i="9"/>
  <c r="I19" i="9"/>
  <c r="G19" i="9"/>
  <c r="C19" i="9"/>
  <c r="C47" i="9"/>
  <c r="K47" i="9" s="1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<sst xmlns="http://schemas.openxmlformats.org/spreadsheetml/2006/main" count="358" uniqueCount="325">
  <si>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</si>
  <si>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</si>
  <si>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</si>
  <si>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</si>
  <si>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</si>
  <si>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</si>
  <si>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</si>
  <si>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</si>
  <si>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</si>
  <si>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</si>
  <si>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</si>
  <si>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</si>
  <si>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</si>
  <si>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</si>
  <si>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</si>
  <si>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</si>
  <si>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</si>
  <si>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</si>
  <si>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</si>
  <si>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</si>
  <si>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</si>
  <si>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</si>
  <si>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</si>
  <si>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</si>
  <si>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</si>
  <si>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</si>
  <si>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</si>
  <si>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</si>
  <si>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</si>
  <si>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</si>
  <si>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</si>
  <si>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</si>
  <si>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</si>
  <si>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</si>
  <si>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</si>
  <si>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</si>
  <si>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</si>
  <si>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</si>
  <si>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</si>
  <si>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</si>
  <si>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</si>
  <si>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</si>
  <si>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</si>
  <si>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</si>
  <si>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</si>
  <si>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</si>
  <si>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</si>
  <si>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</si>
  <si>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</si>
  <si>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</si>
  <si>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</si>
  <si>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</si>
  <si>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</si>
  <si>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</si>
  <si>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</si>
  <si>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</si>
  <si>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</si>
  <si>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</si>
  <si>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</si>
  <si>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</si>
  <si>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</si>
  <si>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</si>
  <si>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</si>
  <si>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</si>
  <si>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</si>
  <si>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</si>
  <si>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</si>
  <si>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</si>
  <si>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</si>
  <si>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</si>
  <si>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</si>
  <si>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</si>
  <si>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</si>
  <si>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</si>
  <si>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</si>
  <si>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</si>
  <si>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</si>
  <si>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</si>
  <si>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</si>
  <si>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</si>
  <si>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</si>
  <si>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</si>
  <si>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</si>
  <si>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</si>
  <si>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</si>
  <si>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</si>
  <si>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</si>
  <si>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</si>
  <si>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</si>
  <si>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</si>
  <si>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</si>
  <si>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</si>
  <si>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</si>
  <si>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</si>
  <si>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</si>
  <si>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</si>
  <si>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</si>
  <si>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</si>
  <si>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</si>
  <si>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</si>
  <si>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</si>
  <si>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</si>
  <si>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</si>
  <si>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</si>
  <si>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</si>
  <si>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</si>
  <si>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</si>
  <si>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</si>
  <si>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</si>
  <si>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</si>
  <si>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</si>
  <si>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</si>
  <si>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</si>
  <si>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</si>
  <si>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</si>
  <si>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</si>
  <si>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</si>
  <si>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</si>
  <si>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</si>
  <si>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</si>
  <si>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</si>
  <si>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</si>
  <si>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</si>
  <si>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</si>
  <si>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</si>
  <si>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</si>
  <si>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</si>
  <si>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</si>
  <si>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</si>
  <si>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</si>
  <si>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</si>
  <si>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</si>
  <si>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</si>
  <si>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</si>
  <si>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</si>
  <si>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</si>
  <si>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</si>
  <si>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</si>
  <si>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</si>
  <si>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</si>
  <si>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</si>
  <si>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</si>
  <si>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</si>
  <si>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</si>
  <si>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</si>
  <si>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</si>
  <si>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</si>
  <si>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</si>
  <si>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</si>
  <si>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</si>
  <si>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</si>
  <si>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</si>
  <si>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</si>
  <si>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</si>
  <si>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</si>
  <si>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</si>
  <si>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</si>
  <si>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</si>
  <si>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</si>
  <si>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</si>
  <si>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</si>
  <si>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</si>
  <si>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</si>
  <si>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</si>
  <si>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</si>
  <si>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</si>
  <si>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</si>
  <si>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</si>
  <si>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</si>
  <si>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</si>
  <si>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</si>
  <si>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</si>
  <si>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</si>
  <si>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</si>
  <si>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</si>
  <si>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</si>
  <si>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</si>
  <si>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</si>
  <si>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</si>
  <si>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</si>
  <si>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</si>
  <si>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</si>
  <si>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</si>
  <si>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</si>
  <si>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</si>
  <si>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</si>
  <si>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</si>
  <si>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</si>
  <si>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</si>
  <si>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</si>
  <si>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</si>
  <si>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</si>
  <si>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</si>
  <si>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</si>
  <si>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</si>
  <si>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</si>
  <si>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</si>
  <si>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</si>
  <si>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</si>
  <si>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</si>
  <si>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</si>
  <si>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</si>
  <si>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</si>
  <si>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</si>
  <si>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</si>
  <si>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</si>
  <si>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</si>
  <si>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</si>
  <si>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</si>
  <si>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</si>
  <si>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</si>
  <si>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</si>
  <si>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</si>
  <si>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</si>
  <si>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</si>
  <si>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</si>
  <si>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</si>
  <si>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</si>
  <si>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</si>
  <si>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</si>
  <si>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</si>
  <si>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</si>
  <si>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</si>
  <si>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</si>
  <si>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</si>
  <si>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</si>
  <si>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</si>
  <si>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</si>
  <si>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</si>
  <si>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</si>
  <si>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</si>
  <si>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</si>
  <si>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</si>
  <si>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</si>
  <si>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</si>
  <si>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</si>
  <si>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</si>
  <si>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</si>
  <si>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</si>
  <si>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</si>
  <si>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</si>
  <si>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</si>
  <si>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</si>
  <si>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</si>
  <si>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</si>
  <si>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</si>
  <si>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</si>
  <si>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</si>
  <si>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</si>
  <si>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</si>
  <si>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</si>
  <si>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</si>
  <si>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</si>
  <si>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</si>
  <si>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</si>
  <si>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</si>
  <si>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</si>
  <si>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</si>
  <si>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</si>
  <si>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</si>
  <si>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</si>
  <si>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</si>
  <si>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</si>
  <si>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</si>
  <si>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</si>
  <si>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</si>
  <si>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</si>
  <si>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</si>
  <si>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</si>
  <si>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</si>
  <si>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</si>
  <si>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</si>
  <si>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</si>
  <si>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</si>
  <si>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</si>
  <si>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</si>
  <si>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</si>
  <si>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</si>
  <si>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</si>
  <si>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</si>
  <si>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</si>
  <si>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</si>
  <si>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</si>
  <si>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</si>
  <si>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</si>
  <si>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</si>
  <si>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</si>
  <si>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</si>
  <si>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</si>
  <si>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</si>
  <si>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</si>
  <si>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</si>
  <si>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</si>
  <si>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</si>
  <si>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</si>
  <si>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</si>
  <si>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</si>
  <si>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</si>
  <si>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</si>
  <si>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</si>
  <si>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</si>
  <si>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</si>
  <si>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</si>
  <si>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</si>
  <si>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</si>
  <si>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</si>
  <si>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JULIO CORREA</t>
  </si>
  <si>
    <t>(2)</t>
  </si>
  <si>
    <t>PVC</t>
  </si>
  <si>
    <t>17 Cº</t>
  </si>
  <si>
    <t>DK99S</t>
  </si>
  <si>
    <t>1005 Hpa</t>
  </si>
  <si>
    <t>PORTUGAL</t>
  </si>
  <si>
    <t>STD</t>
  </si>
  <si>
    <t>01/2021</t>
  </si>
  <si>
    <t>000415</t>
  </si>
  <si>
    <t>2,900</t>
  </si>
  <si>
    <t>0,050</t>
  </si>
  <si>
    <t>01/21</t>
  </si>
  <si>
    <t>3,800</t>
  </si>
  <si>
    <t>ARPÃO DAS FLORES</t>
  </si>
  <si>
    <t>LC22008</t>
  </si>
  <si>
    <t xml:space="preserve">ALMAR COASTAL </t>
  </si>
  <si>
    <t>BREDA ADVENTURE, UNIPESSOAL LDA</t>
  </si>
  <si>
    <t>AZ25-193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</si>
</sst>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0" applyNumberFormat="1" applyFont="1" applyFill="1" applyBorder="1" applyAlignment="1" applyProtection="1">
      <alignment horizontal="center" vertical="center"/>
      <protection locked="0"/>
    </xf>
    <xf numFmtId="49" fontId="16" fillId="5" borderId="10" xfId="0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0" applyNumberFormat="1" applyFont="1" applyFill="1" applyBorder="1" applyAlignment="1" applyProtection="1">
      <alignment horizontal="center" vertical="center"/>
      <protection locked="0"/>
    </xf>
    <xf numFmtId="164" fontId="16" fillId="5" borderId="10" xfId="0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0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35" workbookViewId="0">
      <selection activeCell="K3" sqref="K3:L3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5" t="s">
        <v>75</v>
      </c>
      <c r="J3" s="235"/>
      <c r="K3" s="231" t="str">
        <f>QUADRO!I5</f>
        <v>AZ25-193</v>
      </c>
      <c r="L3" s="232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6" t="s">
        <v>76</v>
      </c>
      <c r="J4" s="22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3" t="s">
        <v>67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6"/>
    </row>
    <row r="7" spans="1:13" x14ac:dyDescent="0.25">
      <c r="A7" s="226" t="s">
        <v>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4"/>
    </row>
    <row r="8" spans="1:13" ht="15" x14ac:dyDescent="0.25">
      <c r="A8" s="23"/>
      <c r="B8" s="234" t="s">
        <v>77</v>
      </c>
      <c r="C8" s="234"/>
      <c r="D8" s="234"/>
      <c r="E8" s="234"/>
      <c r="F8" s="234"/>
      <c r="G8" s="234"/>
      <c r="H8" s="234"/>
      <c r="I8" s="234"/>
      <c r="J8" s="234"/>
      <c r="K8" s="234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 xml:space="preserve">ALMAR COASTAL </v>
      </c>
      <c r="D12" s="166"/>
      <c r="E12" s="236"/>
      <c r="F12" s="167"/>
      <c r="G12" s="165">
        <f>QUADRO!J7</f>
        <v>6</v>
      </c>
      <c r="H12" s="167"/>
      <c r="I12" s="211" t="str">
        <f>QUADRO!C7</f>
        <v>LC22008</v>
      </c>
      <c r="J12" s="212"/>
      <c r="K12" s="230" t="str">
        <f>QUADRO!G79</f>
        <v>01/2021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308</v>
      </c>
      <c r="D15" s="176"/>
      <c r="E15" s="176"/>
      <c r="F15" s="177"/>
      <c r="G15" s="26">
        <v>10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26" t="s">
        <v>25</v>
      </c>
      <c r="D18" s="226"/>
      <c r="E18" s="226"/>
      <c r="F18" s="8"/>
      <c r="G18" s="226" t="s">
        <v>26</v>
      </c>
      <c r="H18" s="226"/>
      <c r="I18" s="226" t="s">
        <v>27</v>
      </c>
      <c r="J18" s="226"/>
      <c r="K18" s="226" t="s">
        <v>28</v>
      </c>
      <c r="L18" s="226"/>
      <c r="M18" s="1"/>
    </row>
    <row r="19" spans="1:13" s="16" customFormat="1" ht="15" x14ac:dyDescent="0.25">
      <c r="A19" s="11"/>
      <c r="B19" s="11"/>
      <c r="C19" s="197" t="str">
        <f>QUADRO!I56</f>
        <v>000415</v>
      </c>
      <c r="D19" s="198"/>
      <c r="E19" s="198"/>
      <c r="F19" s="199"/>
      <c r="G19" s="227">
        <f>QUADRO!I62</f>
        <v>0.85</v>
      </c>
      <c r="H19" s="227"/>
      <c r="I19" s="227" t="str">
        <f>QUADRO!I64</f>
        <v>0,050</v>
      </c>
      <c r="J19" s="227"/>
      <c r="K19" s="228" t="str">
        <f>QUADRO!I66</f>
        <v>01/21</v>
      </c>
      <c r="L19" s="229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27"/>
      <c r="H20" s="227"/>
      <c r="I20" s="227"/>
      <c r="J20" s="227"/>
      <c r="K20" s="228"/>
      <c r="L20" s="229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25"/>
      <c r="H21" s="225"/>
      <c r="I21" s="225"/>
      <c r="J21" s="225"/>
      <c r="K21" s="225"/>
      <c r="L21" s="225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25"/>
      <c r="H22" s="225"/>
      <c r="I22" s="225"/>
      <c r="J22" s="225"/>
      <c r="K22" s="225"/>
      <c r="L22" s="225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26" t="s">
        <v>34</v>
      </c>
      <c r="H25" s="226"/>
      <c r="I25" s="226" t="s">
        <v>25</v>
      </c>
      <c r="J25" s="226"/>
      <c r="K25" s="226" t="s">
        <v>35</v>
      </c>
      <c r="L25" s="226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0" t="str">
        <f>QUADRO!F47</f>
        <v>STD</v>
      </c>
      <c r="H26" s="196"/>
      <c r="I26" s="209" t="str">
        <f>QUADRO!C7</f>
        <v>LC22008</v>
      </c>
      <c r="J26" s="210"/>
      <c r="K26" s="221">
        <f>QUADRO!F81+366+365+365</f>
        <v>47013</v>
      </c>
      <c r="L26" s="222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11"/>
      <c r="J27" s="212"/>
      <c r="K27" s="223"/>
      <c r="L27" s="224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17"/>
      <c r="H29" s="218"/>
      <c r="I29" s="217"/>
      <c r="J29" s="218"/>
      <c r="K29" s="217"/>
      <c r="L29" s="218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17"/>
      <c r="H31" s="218"/>
      <c r="I31" s="217"/>
      <c r="J31" s="218"/>
      <c r="K31" s="217"/>
      <c r="L31" s="218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17"/>
      <c r="J33" s="218"/>
      <c r="K33" s="217"/>
      <c r="L33" s="218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5"/>
      <c r="H34" s="193"/>
      <c r="I34" s="215"/>
      <c r="J34" s="193"/>
      <c r="K34" s="209"/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7"/>
      <c r="H35" s="218"/>
      <c r="I35" s="217"/>
      <c r="J35" s="218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301</v>
      </c>
      <c r="F40" s="175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45917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C47+365+365+366</f>
        <v>47013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/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39" t="s">
        <v>312</v>
      </c>
      <c r="E57" s="23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39"/>
      <c r="E58" s="23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0"/>
      <c r="E59" s="240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0"/>
      <c r="E60" s="240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39"/>
      <c r="E61" s="23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39"/>
      <c r="E62" s="23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1" t="str">
        <f>QUADRO!E7</f>
        <v>ARPÃO DAS FLORES</v>
      </c>
      <c r="E63" s="241"/>
      <c r="F63" s="241"/>
      <c r="G63" s="24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1"/>
      <c r="E64" s="241"/>
      <c r="F64" s="241"/>
      <c r="G64" s="24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39" t="s">
        <v>323</v>
      </c>
      <c r="E65" s="239"/>
      <c r="F65" s="239"/>
      <c r="G65" s="239"/>
      <c r="H65" s="239"/>
      <c r="I65" s="239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39"/>
      <c r="E66" s="239"/>
      <c r="F66" s="239"/>
      <c r="G66" s="239"/>
      <c r="H66" s="239"/>
      <c r="I66" s="239"/>
      <c r="J66" s="226" t="s">
        <v>0</v>
      </c>
      <c r="K66" s="22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7" t="s">
        <v>305</v>
      </c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</row>
    <row r="70" spans="1:13" x14ac:dyDescent="0.25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</row>
    <row r="71" spans="1:13" x14ac:dyDescent="0.25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</row>
    <row r="72" spans="1:13" x14ac:dyDescent="0.25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</row>
    <row r="73" spans="1:13" x14ac:dyDescent="0.25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</row>
    <row r="74" spans="1:13" x14ac:dyDescent="0.25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</row>
    <row r="75" spans="1:13" x14ac:dyDescent="0.2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</row>
    <row r="76" spans="1:13" x14ac:dyDescent="0.25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</row>
    <row r="77" spans="1:13" x14ac:dyDescent="0.25">
      <c r="G77" s="238" t="s">
        <v>81</v>
      </c>
      <c r="H77" s="238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zoomScale="48" zoomScaleNormal="48" workbookViewId="0">
      <selection activeCell="H7" sqref="H7:I8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3" t="s">
        <v>86</v>
      </c>
      <c r="E3" s="323"/>
      <c r="F3" s="323"/>
      <c r="G3" s="323"/>
      <c r="H3" s="324" t="s">
        <v>87</v>
      </c>
      <c r="I3" s="326"/>
      <c r="J3" s="327"/>
    </row>
    <row r="4" spans="2:15" s="79" customFormat="1" ht="23.4" customHeight="1" x14ac:dyDescent="0.4">
      <c r="B4" s="77" t="s">
        <v>88</v>
      </c>
      <c r="C4" s="78"/>
      <c r="D4" s="328" t="s">
        <v>89</v>
      </c>
      <c r="E4" s="328"/>
      <c r="F4" s="328"/>
      <c r="G4" s="329"/>
      <c r="H4" s="325"/>
      <c r="I4" s="327"/>
      <c r="J4" s="327"/>
    </row>
    <row r="5" spans="2:15" s="79" customFormat="1" ht="23.4" customHeight="1" x14ac:dyDescent="0.4">
      <c r="B5" s="77" t="s">
        <v>90</v>
      </c>
      <c r="C5" s="77"/>
      <c r="H5" s="330" t="s">
        <v>91</v>
      </c>
      <c r="I5" s="332" t="s">
        <v>324</v>
      </c>
      <c r="J5" s="333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1"/>
      <c r="I6" s="334"/>
      <c r="J6" s="334"/>
    </row>
    <row r="7" spans="2:15" ht="23.4" customHeight="1" x14ac:dyDescent="0.3">
      <c r="B7" s="80" t="s">
        <v>92</v>
      </c>
      <c r="C7" s="307" t="s">
        <v>321</v>
      </c>
      <c r="D7" s="80" t="s">
        <v>93</v>
      </c>
      <c r="E7" s="309" t="s">
        <v>320</v>
      </c>
      <c r="F7" s="310"/>
      <c r="G7" s="81" t="s">
        <v>94</v>
      </c>
      <c r="H7" s="309" t="s">
        <v>322</v>
      </c>
      <c r="I7" s="318"/>
      <c r="J7" s="321">
        <v>6</v>
      </c>
    </row>
    <row r="8" spans="2:15" ht="23.4" customHeight="1" x14ac:dyDescent="0.3">
      <c r="B8" s="82" t="s">
        <v>95</v>
      </c>
      <c r="C8" s="308"/>
      <c r="D8" s="82" t="s">
        <v>96</v>
      </c>
      <c r="E8" s="311"/>
      <c r="F8" s="312"/>
      <c r="G8" s="83" t="s">
        <v>97</v>
      </c>
      <c r="H8" s="319"/>
      <c r="I8" s="320"/>
      <c r="J8" s="32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307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313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 t="s">
        <v>310</v>
      </c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3" t="s">
        <v>232</v>
      </c>
      <c r="H56" s="314"/>
      <c r="I56" s="315" t="s">
        <v>315</v>
      </c>
      <c r="J56" s="316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6" t="s">
        <v>235</v>
      </c>
      <c r="H57" s="285"/>
      <c r="I57" s="281"/>
      <c r="J57" s="317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5" t="s">
        <v>238</v>
      </c>
      <c r="H58" s="279"/>
      <c r="I58" s="280" t="s">
        <v>319</v>
      </c>
      <c r="J58" s="282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6" t="s">
        <v>241</v>
      </c>
      <c r="H59" s="285"/>
      <c r="I59" s="281"/>
      <c r="J59" s="283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5" t="s">
        <v>244</v>
      </c>
      <c r="H60" s="279"/>
      <c r="I60" s="280" t="s">
        <v>316</v>
      </c>
      <c r="J60" s="282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6" t="s">
        <v>247</v>
      </c>
      <c r="H61" s="285"/>
      <c r="I61" s="281"/>
      <c r="J61" s="283"/>
      <c r="M61" s="164">
        <f>I60+I62+I64</f>
        <v>3.8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9"/>
      <c r="I62" s="301">
        <v>0.85</v>
      </c>
      <c r="J62" s="303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4" t="s">
        <v>253</v>
      </c>
      <c r="H63" s="285"/>
      <c r="I63" s="302"/>
      <c r="J63" s="304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5" t="s">
        <v>256</v>
      </c>
      <c r="H64" s="279"/>
      <c r="I64" s="280" t="s">
        <v>317</v>
      </c>
      <c r="J64" s="282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6" t="s">
        <v>259</v>
      </c>
      <c r="H65" s="285"/>
      <c r="I65" s="281"/>
      <c r="J65" s="283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9"/>
      <c r="I66" s="280" t="s">
        <v>318</v>
      </c>
      <c r="J66" s="282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4" t="s">
        <v>265</v>
      </c>
      <c r="H67" s="285"/>
      <c r="I67" s="281"/>
      <c r="J67" s="283"/>
    </row>
    <row r="68" spans="1:11" ht="5.25" customHeight="1" x14ac:dyDescent="0.3">
      <c r="B68" s="286"/>
      <c r="C68" s="287"/>
      <c r="D68" s="287"/>
      <c r="E68" s="287"/>
      <c r="F68" s="287"/>
      <c r="G68" s="287"/>
      <c r="H68" s="287"/>
      <c r="I68" s="287"/>
      <c r="J68" s="288"/>
    </row>
    <row r="69" spans="1:11" ht="21" x14ac:dyDescent="0.3">
      <c r="B69" s="289" t="s">
        <v>266</v>
      </c>
      <c r="C69" s="143" t="s">
        <v>267</v>
      </c>
      <c r="D69" s="293" t="s">
        <v>304</v>
      </c>
      <c r="E69" s="294"/>
      <c r="F69" s="144" t="s">
        <v>268</v>
      </c>
      <c r="G69" s="145" t="s">
        <v>269</v>
      </c>
      <c r="H69" s="297" t="s">
        <v>309</v>
      </c>
      <c r="I69" s="145" t="s">
        <v>270</v>
      </c>
      <c r="J69" s="299" t="s">
        <v>309</v>
      </c>
    </row>
    <row r="70" spans="1:11" ht="21.6" customHeight="1" x14ac:dyDescent="0.3">
      <c r="B70" s="290"/>
      <c r="C70" s="146" t="s">
        <v>271</v>
      </c>
      <c r="D70" s="295"/>
      <c r="E70" s="296"/>
      <c r="F70" s="147" t="s">
        <v>272</v>
      </c>
      <c r="G70" s="148" t="s">
        <v>273</v>
      </c>
      <c r="H70" s="298"/>
      <c r="I70" s="148" t="s">
        <v>274</v>
      </c>
      <c r="J70" s="300"/>
    </row>
    <row r="71" spans="1:11" ht="21" x14ac:dyDescent="0.3">
      <c r="B71" s="291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7" t="s">
        <v>311</v>
      </c>
      <c r="I71" s="145" t="s">
        <v>270</v>
      </c>
      <c r="J71" s="297" t="s">
        <v>311</v>
      </c>
    </row>
    <row r="72" spans="1:11" ht="42" customHeight="1" x14ac:dyDescent="0.3">
      <c r="B72" s="292"/>
      <c r="C72" s="151">
        <v>0.375</v>
      </c>
      <c r="D72" s="151">
        <v>0.41666666666666669</v>
      </c>
      <c r="E72" s="152" t="s">
        <v>279</v>
      </c>
      <c r="F72" s="147" t="s">
        <v>280</v>
      </c>
      <c r="G72" s="153" t="s">
        <v>273</v>
      </c>
      <c r="H72" s="298"/>
      <c r="I72" s="153" t="s">
        <v>274</v>
      </c>
      <c r="J72" s="298"/>
    </row>
    <row r="73" spans="1:11" ht="21.6" customHeight="1" x14ac:dyDescent="0.3">
      <c r="B73" s="154" t="s">
        <v>281</v>
      </c>
      <c r="C73" s="262">
        <v>144</v>
      </c>
      <c r="D73" s="262">
        <v>138</v>
      </c>
      <c r="E73" s="264">
        <f>1-(D73/C73)</f>
        <v>4.166666666666663E-2</v>
      </c>
      <c r="F73" s="266" t="s">
        <v>282</v>
      </c>
      <c r="G73" s="269"/>
      <c r="H73" s="270"/>
      <c r="I73" s="270"/>
      <c r="J73" s="271"/>
    </row>
    <row r="74" spans="1:11" ht="21.6" customHeight="1" x14ac:dyDescent="0.3">
      <c r="B74" s="155" t="s">
        <v>283</v>
      </c>
      <c r="C74" s="263"/>
      <c r="D74" s="263"/>
      <c r="E74" s="265"/>
      <c r="F74" s="267"/>
      <c r="G74" s="272"/>
      <c r="H74" s="273"/>
      <c r="I74" s="273"/>
      <c r="J74" s="274"/>
    </row>
    <row r="75" spans="1:11" ht="21.6" customHeight="1" x14ac:dyDescent="0.3">
      <c r="B75" s="154" t="s">
        <v>284</v>
      </c>
      <c r="C75" s="262">
        <v>160</v>
      </c>
      <c r="D75" s="262">
        <v>153</v>
      </c>
      <c r="E75" s="264">
        <f>1-(D75/C75)</f>
        <v>4.3749999999999956E-2</v>
      </c>
      <c r="F75" s="267"/>
      <c r="G75" s="272"/>
      <c r="H75" s="273"/>
      <c r="I75" s="273"/>
      <c r="J75" s="274"/>
    </row>
    <row r="76" spans="1:11" ht="21.6" customHeight="1" x14ac:dyDescent="0.3">
      <c r="B76" s="155" t="s">
        <v>285</v>
      </c>
      <c r="C76" s="263"/>
      <c r="D76" s="263"/>
      <c r="E76" s="265"/>
      <c r="F76" s="267"/>
      <c r="G76" s="272"/>
      <c r="H76" s="273"/>
      <c r="I76" s="273"/>
      <c r="J76" s="274"/>
    </row>
    <row r="77" spans="1:11" ht="21" customHeight="1" x14ac:dyDescent="0.3">
      <c r="B77" s="154" t="s">
        <v>286</v>
      </c>
      <c r="C77" s="250"/>
      <c r="D77" s="250"/>
      <c r="E77" s="252" t="e">
        <f>1-(D77/C77)</f>
        <v>#DIV/0!</v>
      </c>
      <c r="F77" s="267"/>
      <c r="G77" s="272"/>
      <c r="H77" s="273"/>
      <c r="I77" s="273"/>
      <c r="J77" s="274"/>
    </row>
    <row r="78" spans="1:11" ht="21" customHeight="1" x14ac:dyDescent="0.3">
      <c r="B78" s="155" t="s">
        <v>287</v>
      </c>
      <c r="C78" s="251"/>
      <c r="D78" s="251"/>
      <c r="E78" s="253"/>
      <c r="F78" s="268"/>
      <c r="G78" s="275"/>
      <c r="H78" s="276"/>
      <c r="I78" s="276"/>
      <c r="J78" s="277"/>
    </row>
    <row r="79" spans="1:11" s="96" customFormat="1" ht="21.6" customHeight="1" x14ac:dyDescent="0.3">
      <c r="A79" s="76"/>
      <c r="B79" s="154" t="s">
        <v>288</v>
      </c>
      <c r="C79" s="250"/>
      <c r="D79" s="250"/>
      <c r="E79" s="252" t="e">
        <f>1-(D79/C79)</f>
        <v>#DIV/0!</v>
      </c>
      <c r="F79" s="156" t="s">
        <v>289</v>
      </c>
      <c r="G79" s="254" t="s">
        <v>314</v>
      </c>
      <c r="H79" s="256"/>
      <c r="I79" s="257"/>
      <c r="J79" s="258"/>
      <c r="K79" s="76"/>
    </row>
    <row r="80" spans="1:11" ht="21" customHeight="1" x14ac:dyDescent="0.3">
      <c r="B80" s="155" t="s">
        <v>290</v>
      </c>
      <c r="C80" s="251"/>
      <c r="D80" s="251"/>
      <c r="E80" s="253"/>
      <c r="F80" s="157" t="s">
        <v>291</v>
      </c>
      <c r="G80" s="255"/>
      <c r="H80" s="259"/>
      <c r="I80" s="260"/>
      <c r="J80" s="261"/>
    </row>
    <row r="81" spans="1:11" ht="30" customHeight="1" x14ac:dyDescent="0.3">
      <c r="A81" s="96"/>
      <c r="B81" s="158" t="s">
        <v>292</v>
      </c>
      <c r="C81" s="244" t="s">
        <v>303</v>
      </c>
      <c r="D81" s="246"/>
      <c r="E81" s="159" t="s">
        <v>293</v>
      </c>
      <c r="F81" s="242">
        <v>45917</v>
      </c>
      <c r="G81" s="159" t="s">
        <v>294</v>
      </c>
      <c r="H81" s="244" t="s">
        <v>306</v>
      </c>
      <c r="I81" s="245"/>
      <c r="J81" s="246"/>
      <c r="K81" s="96"/>
    </row>
    <row r="82" spans="1:11" ht="28.2" customHeight="1" x14ac:dyDescent="0.3">
      <c r="B82" s="160" t="s">
        <v>295</v>
      </c>
      <c r="C82" s="247"/>
      <c r="D82" s="249"/>
      <c r="E82" s="161" t="s">
        <v>296</v>
      </c>
      <c r="F82" s="243"/>
      <c r="G82" s="161" t="s">
        <v>0</v>
      </c>
      <c r="H82" s="247"/>
      <c r="I82" s="248"/>
      <c r="J82" s="249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A074AE18CC7FA42A42AC24BEB5A89CA" ma:contentTypeVersion="7" ma:contentTypeDescription="Criar um novo documento." ma:contentTypeScope="" ma:versionID="3fefb5eb70ab9f522e145ae28fd2f09a">
  <xsd:schema xmlns:xsd="http://www.w3.org/2001/XMLSchema" xmlns:xs="http://www.w3.org/2001/XMLSchema" xmlns:p="http://schemas.microsoft.com/office/2006/metadata/properties" xmlns:ns3="4d5b9d8e-1c80-438f-8d51-f51c0944f2b0" targetNamespace="http://schemas.microsoft.com/office/2006/metadata/properties" ma:root="true" ma:fieldsID="3cc722beebf2760e0a189bbb2baaa4ba" ns3:_="">
    <xsd:import namespace="4d5b9d8e-1c80-438f-8d51-f51c0944f2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b9d8e-1c80-438f-8d51-f51c0944f2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AED6C5-5969-4792-9FF0-FD4315B500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811885-4C5E-49F1-8623-7C1633D88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b9d8e-1c80-438f-8d51-f51c0944f2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6870A9-8C8D-4321-B5A5-92F966A9220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4d5b9d8e-1c80-438f-8d51-f51c0944f2b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2025-09-19T14:56:17Z</cp:lastPrinted>
  <dcterms:created xsi:type="dcterms:W3CDTF">2001-08-01T17:12:05Z</dcterms:created>
  <dcterms:modified xsi:type="dcterms:W3CDTF">2025-09-19T15:00:16Z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0x0101000A074AE18CC7FA42A42AC24BEB5A89CA</vt:lpwstr>
  </property>
</Properties>
</file>