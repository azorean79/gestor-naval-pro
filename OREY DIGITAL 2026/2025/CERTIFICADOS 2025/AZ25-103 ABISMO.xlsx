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5590362-FCA3-49B2-AEED-E159FD71BE8C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M57" i="10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<sst xmlns="http://schemas.openxmlformats.org/spreadsheetml/2006/main" count="365" uniqueCount="330">
  <si>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</si>
  <si>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</si>
  <si>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</si>
  <si>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</si>
  <si>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</si>
  <si>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</si>
  <si>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</si>
  <si>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</si>
  <si>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</si>
  <si>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</si>
  <si>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</si>
  <si>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</si>
  <si>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</si>
  <si>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</si>
  <si>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</si>
  <si>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</si>
  <si>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</si>
  <si>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</si>
  <si>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</si>
  <si>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</si>
  <si>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</si>
  <si>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</si>
  <si>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</si>
  <si>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</si>
  <si>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</si>
  <si>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</si>
  <si>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</si>
  <si>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</si>
  <si>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</si>
  <si>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</si>
  <si>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</si>
  <si>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</si>
  <si>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</si>
  <si>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</si>
  <si>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</si>
  <si>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</si>
  <si>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</si>
  <si>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</si>
  <si>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</si>
  <si>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</si>
  <si>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</si>
  <si>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</si>
  <si>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</si>
  <si>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</si>
  <si>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</si>
  <si>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</si>
  <si>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</si>
  <si>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</si>
  <si>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</si>
  <si>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</si>
  <si>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</si>
  <si>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</si>
  <si>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</si>
  <si>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</si>
  <si>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</si>
  <si>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</si>
  <si>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</si>
  <si>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</si>
  <si>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</si>
  <si>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</si>
  <si>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</si>
  <si>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</si>
  <si>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</si>
  <si>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</si>
  <si>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</si>
  <si>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</si>
  <si>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</si>
  <si>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</si>
  <si>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</si>
  <si>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</si>
  <si>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</si>
  <si>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</si>
  <si>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</si>
  <si>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</si>
  <si>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</si>
  <si>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</si>
  <si>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</si>
  <si>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</si>
  <si>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</si>
  <si>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</si>
  <si>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</si>
  <si>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</si>
  <si>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</si>
  <si>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</si>
  <si>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</si>
  <si>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</si>
  <si>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</si>
  <si>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</si>
  <si>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</si>
  <si>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</si>
  <si>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</si>
  <si>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</si>
  <si>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</si>
  <si>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</si>
  <si>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</si>
  <si>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</si>
  <si>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</si>
  <si>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</si>
  <si>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</si>
  <si>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</si>
  <si>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</si>
  <si>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</si>
  <si>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</si>
  <si>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</si>
  <si>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</si>
  <si>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</si>
  <si>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</si>
  <si>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</si>
  <si>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</si>
  <si>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</si>
  <si>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</si>
  <si>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</si>
  <si>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</si>
  <si>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</si>
  <si>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</si>
  <si>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</si>
  <si>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</si>
  <si>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</si>
  <si>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</si>
  <si>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</si>
  <si>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</si>
  <si>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</si>
  <si>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</si>
  <si>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</si>
  <si>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</si>
  <si>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</si>
  <si>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</si>
  <si>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</si>
  <si>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</si>
  <si>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</si>
  <si>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</si>
  <si>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</si>
  <si>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</si>
  <si>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</si>
  <si>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</si>
  <si>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</si>
  <si>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</si>
  <si>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</si>
  <si>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</si>
  <si>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</si>
  <si>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</si>
  <si>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</si>
  <si>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</si>
  <si>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</si>
  <si>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</si>
  <si>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</si>
  <si>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</si>
  <si>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</si>
  <si>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</si>
  <si>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</si>
  <si>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</si>
  <si>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</si>
  <si>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</si>
  <si>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</si>
  <si>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</si>
  <si>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</si>
  <si>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</si>
  <si>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</si>
  <si>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</si>
  <si>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</si>
  <si>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</si>
  <si>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</si>
  <si>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</si>
  <si>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</si>
  <si>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</si>
  <si>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</si>
  <si>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</si>
  <si>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</si>
  <si>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</si>
  <si>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</si>
  <si>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</si>
  <si>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</si>
  <si>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</si>
  <si>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</si>
  <si>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</si>
  <si>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</si>
  <si>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</si>
  <si>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</si>
  <si>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</si>
  <si>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</si>
  <si>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</si>
  <si>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</si>
  <si>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</si>
  <si>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</si>
  <si>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</si>
  <si>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</si>
  <si>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</si>
  <si>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</si>
  <si>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</si>
  <si>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</si>
  <si>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</si>
  <si>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</si>
  <si>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</si>
  <si>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</si>
  <si>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</si>
  <si>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</si>
  <si>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</si>
  <si>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</si>
  <si>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</si>
  <si>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</si>
  <si>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</si>
  <si>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</si>
  <si>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</si>
  <si>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</si>
  <si>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</si>
  <si>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</si>
  <si>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</si>
  <si>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</si>
  <si>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</si>
  <si>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</si>
  <si>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</si>
  <si>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</si>
  <si>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</si>
  <si>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</si>
  <si>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</si>
  <si>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</si>
  <si>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</si>
  <si>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</si>
  <si>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</si>
  <si>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</si>
  <si>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</si>
  <si>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</si>
  <si>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</si>
  <si>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</si>
  <si>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</si>
  <si>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</si>
  <si>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</si>
  <si>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</si>
  <si>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</si>
  <si>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</si>
  <si>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</si>
  <si>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</si>
  <si>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</si>
  <si>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</si>
  <si>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</si>
  <si>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</si>
  <si>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</si>
  <si>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</si>
  <si>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</si>
  <si>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</si>
  <si>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</si>
  <si>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</si>
  <si>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</si>
  <si>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</si>
  <si>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</si>
  <si>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</si>
  <si>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</si>
  <si>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</si>
  <si>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</si>
  <si>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</si>
  <si>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</si>
  <si>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</si>
  <si>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</si>
  <si>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</si>
  <si>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</si>
  <si>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</si>
  <si>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</si>
  <si>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</si>
  <si>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</si>
  <si>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</si>
  <si>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</si>
  <si>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</si>
  <si>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</si>
  <si>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</si>
  <si>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</si>
  <si>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</si>
  <si>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</si>
  <si>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</si>
  <si>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</si>
  <si>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</si>
  <si>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</si>
  <si>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</si>
  <si>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</si>
  <si>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</si>
  <si>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</si>
  <si>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</si>
  <si>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</si>
  <si>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</si>
  <si>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</si>
  <si>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</si>
  <si>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</si>
  <si>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</si>
  <si>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</si>
  <si>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</si>
  <si>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</si>
  <si>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</si>
  <si>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</si>
  <si>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</si>
  <si>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</si>
  <si>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</si>
  <si>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</si>
  <si>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</si>
  <si>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</si>
  <si>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</si>
  <si>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</si>
  <si>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</si>
  <si>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</si>
  <si>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</si>
  <si>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</si>
  <si>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</si>
  <si>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</si>
  <si>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</si>
  <si>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</si>
  <si>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</si>
  <si>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</si>
  <si>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</si>
  <si>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</si>
  <si>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</si>
  <si>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</si>
  <si>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VTE99</t>
  </si>
  <si>
    <t>&lt; 24H</t>
  </si>
  <si>
    <t>(60)</t>
  </si>
  <si>
    <t>(3)</t>
  </si>
  <si>
    <t>1032 Hpa</t>
  </si>
  <si>
    <t>16 Cº</t>
  </si>
  <si>
    <t>PORTUGAL</t>
  </si>
  <si>
    <t>ABISMO</t>
  </si>
  <si>
    <t>FLAVIO FREITAS</t>
  </si>
  <si>
    <t>EUROVINIL ISO 9650-2</t>
  </si>
  <si>
    <t>05/2028</t>
  </si>
  <si>
    <t>08/2028</t>
  </si>
  <si>
    <t>04/2028</t>
  </si>
  <si>
    <t>79190695</t>
  </si>
  <si>
    <t>K95852</t>
  </si>
  <si>
    <t>10,295</t>
  </si>
  <si>
    <t>6,990</t>
  </si>
  <si>
    <t>0,200</t>
  </si>
  <si>
    <t>06/18</t>
  </si>
  <si>
    <t>02/2019</t>
  </si>
  <si>
    <t>AZ25-103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</si>
</sst>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69977F-6235-4759-BEB5-D1E53251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AZ25-103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EUROVINIL ISO 9650-2</v>
      </c>
      <c r="D12" s="166"/>
      <c r="E12" s="236"/>
      <c r="F12" s="167"/>
      <c r="G12" s="165">
        <f>QUADRO!J7</f>
        <v>10</v>
      </c>
      <c r="H12" s="167"/>
      <c r="I12" s="211" t="str">
        <f>QUADRO!C7</f>
        <v>79190695</v>
      </c>
      <c r="J12" s="212"/>
      <c r="K12" s="230" t="str">
        <f>QUADRO!G79</f>
        <v>02/2019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308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K95852</v>
      </c>
      <c r="D19" s="198"/>
      <c r="E19" s="198"/>
      <c r="F19" s="199"/>
      <c r="G19" s="227">
        <f>QUADRO!I62</f>
        <v>3.1</v>
      </c>
      <c r="H19" s="227"/>
      <c r="I19" s="227" t="str">
        <f>QUADRO!I64</f>
        <v>0,200</v>
      </c>
      <c r="J19" s="227"/>
      <c r="K19" s="228" t="str">
        <f>QUADRO!I66</f>
        <v>06/18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79190695</v>
      </c>
      <c r="J26" s="210"/>
      <c r="K26" s="221">
        <f>QUADRO!F81+365+365+365</f>
        <v>46880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45785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46881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315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ABISMO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317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329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322</v>
      </c>
      <c r="D7" s="80" t="s">
        <v>93</v>
      </c>
      <c r="E7" s="309" t="s">
        <v>316</v>
      </c>
      <c r="F7" s="310"/>
      <c r="G7" s="81" t="s">
        <v>94</v>
      </c>
      <c r="H7" s="309" t="s">
        <v>318</v>
      </c>
      <c r="I7" s="318"/>
      <c r="J7" s="321">
        <v>10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311</v>
      </c>
      <c r="J15" s="106" t="s">
        <v>319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307</v>
      </c>
      <c r="J17" s="106" t="s">
        <v>320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312</v>
      </c>
      <c r="J19" s="106" t="s">
        <v>320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 t="s">
        <v>321</v>
      </c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309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323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  <c r="M57" s="164">
        <f>I60+I62+I64</f>
        <v>10.29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324</v>
      </c>
      <c r="J58" s="282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325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3.1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326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327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314</v>
      </c>
      <c r="I69" s="145" t="s">
        <v>270</v>
      </c>
      <c r="J69" s="299" t="s">
        <v>314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313</v>
      </c>
      <c r="I71" s="145" t="s">
        <v>270</v>
      </c>
      <c r="J71" s="297" t="s">
        <v>313</v>
      </c>
    </row>
    <row r="72" spans="1:11" ht="42" customHeight="1" x14ac:dyDescent="0.3">
      <c r="B72" s="292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56.9</v>
      </c>
      <c r="D73" s="262">
        <v>56.1</v>
      </c>
      <c r="E73" s="264">
        <f>1-(D73/C73)</f>
        <v>1.4059753954305698E-2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59.2</v>
      </c>
      <c r="D75" s="262">
        <v>58.4</v>
      </c>
      <c r="E75" s="264">
        <f>1-(D75/C75)</f>
        <v>1.3513513513513598E-2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328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45785</v>
      </c>
      <c r="G81" s="159" t="s">
        <v>294</v>
      </c>
      <c r="H81" s="244" t="s">
        <v>306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2025-04-29T15:37:38Z</cp:lastPrinted>
  <dcterms:created xsi:type="dcterms:W3CDTF">2001-08-01T17:12:05Z</dcterms:created>
  <dcterms:modified xsi:type="dcterms:W3CDTF">2025-05-09T11:19:41Z</dcterms:modified>
</cp:coreProperties>
</file>