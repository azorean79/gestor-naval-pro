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codeName="EsteLivro"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2025\"/>
    </mc:Choice>
  </mc:AlternateContent>
  <xr:revisionPtr revIDLastSave="0" documentId="13_ncr:1_{C4F10BFE-98F7-467F-919B-37E4A2D06837}" xr6:coauthVersionLast="47" xr6:coauthVersionMax="47" xr10:uidLastSave="{00000000-0000-0000-0000-000000000000}"/>
  <bookViews>
    <workbookView xWindow="-108" yWindow="-108" windowWidth="23256" windowHeight="12456" tabRatio="745" xr2:uid="{00000000-000D-0000-FFFF-FFFF00000000}"/>
  </bookViews>
  <sheets>
    <sheet name="CERTIFICADO" sheetId="9" r:id="rId1"/>
    <sheet name="QUADRO" sheetId="10" r:id="rId2"/>
  </sheets>
  <definedNames>
    <definedName name="_xlnm.Print_Area" localSheetId="0">CERTIFICADO!$A$1:$L$77</definedName>
    <definedName name="_xlnm.Print_Area" localSheetId="1">QUADRO!$A$2:$K$85</definedName>
  </definedNames>
  <calcPr calcId="191029"/>
</workbook>
</file>

<file path=xl/calcChain.xml><?xml version="1.0" encoding="utf-8"?>
<calcChain xmlns="http://schemas.openxmlformats.org/spreadsheetml/2006/main">
  <c r="K26" i="9" l="1"/>
  <c r="K3" i="9"/>
  <c r="K12" i="9"/>
  <c r="I12" i="9"/>
  <c r="C47" i="9" l="1"/>
  <c r="K47" i="9" s="1"/>
  <c r="G47" i="9"/>
  <c r="L42" i="9"/>
  <c r="G12" i="9"/>
  <c r="C12" i="9"/>
  <c r="I26" i="9"/>
  <c r="D63" i="9"/>
  <c r="K19" i="9"/>
  <c r="I19" i="9"/>
  <c r="G19" i="9"/>
  <c r="C19" i="9"/>
  <c r="G26" i="9"/>
  <c r="K34" i="9"/>
  <c r="E75" i="10"/>
  <c r="E73" i="10"/>
</calcChain>
</file>

<file path=xl/sharedStrings.xml><?xml version="1.0" encoding="utf-8"?>
<sst xmlns="http://schemas.openxmlformats.org/spreadsheetml/2006/main" count="372" uniqueCount="334">
  <si>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</si>
  <si>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</si>
  <si>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</si>
  <si>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</si>
  <si>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</si>
  <si>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</si>
  <si>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</si>
  <si>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</si>
  <si>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</si>
  <si>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</si>
  <si>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</si>
  <si>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</si>
  <si>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</si>
  <si>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</si>
  <si>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</si>
  <si>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</si>
  <si>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</si>
  <si>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</si>
  <si>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</si>
  <si>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</si>
  <si>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</si>
  <si>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</si>
  <si>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</si>
  <si>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</si>
  <si>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</si>
  <si>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</si>
  <si>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</si>
  <si>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</si>
  <si>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</si>
  <si>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</si>
  <si>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</si>
  <si>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</si>
  <si>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</si>
  <si>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</si>
  <si>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</si>
  <si>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</si>
  <si>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</si>
  <si>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</si>
  <si>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</si>
  <si>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Rádio Baliza:</t>
  </si>
  <si>
    <t>HRU test:</t>
  </si>
  <si>
    <t>Teste do Hidróstatico:</t>
  </si>
  <si>
    <t>Radar reflector:</t>
  </si>
  <si>
    <t>Reflector de Radar:</t>
  </si>
  <si>
    <t>First aid kit: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</si>
  <si>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</si>
  <si>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</si>
  <si>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</si>
  <si>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</si>
  <si>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</si>
  <si>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</si>
  <si>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</si>
  <si>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</si>
  <si>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</si>
  <si>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</si>
  <si>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</si>
  <si>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</si>
  <si>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</si>
  <si>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</si>
  <si>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</si>
  <si>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</si>
  <si>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</si>
  <si>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</si>
  <si>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</si>
  <si>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Nacionalidade:</t>
  </si>
  <si>
    <t>IMO No.</t>
  </si>
  <si>
    <t>Indicativo de chamada:</t>
  </si>
  <si>
    <t xml:space="preserve">CERTIFICATE OF RE-INSPECTION </t>
  </si>
  <si>
    <t>m/outside</t>
  </si>
  <si>
    <t>Ship owner:</t>
  </si>
  <si>
    <t>Armador:</t>
  </si>
  <si>
    <t>Nome do navio</t>
  </si>
  <si>
    <t>Name of Ship:</t>
  </si>
  <si>
    <t>YES/NO</t>
  </si>
  <si>
    <t>OREY TECNICA - SERVIÇOS NAVAIS, LDA.</t>
  </si>
  <si>
    <t xml:space="preserve">           Certificate No.:</t>
  </si>
  <si>
    <t xml:space="preserve">                Certificado No.:</t>
  </si>
  <si>
    <r>
      <rPr>
        <b/>
        <sz val="10"/>
        <rFont val="Arial"/>
        <family val="2"/>
      </rPr>
      <t>IPTM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</si>
  <si>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National Marine</t>
  </si>
  <si>
    <t>authority ID No.</t>
  </si>
  <si>
    <r>
      <t xml:space="preserve">According to SOLAS regulation, this inflatable liferaft requires servicing within </t>
    </r>
    <r>
      <rPr>
        <b/>
        <sz val="10"/>
        <rFont val="Arial"/>
        <family val="2"/>
      </rPr>
      <t>12</t>
    </r>
    <r>
      <rPr>
        <sz val="10"/>
        <rFont val="Arial"/>
        <family val="2"/>
      </rPr>
      <t xml:space="preserve"> months from the date of inspection.</t>
    </r>
  </si>
  <si>
    <t>Equipamento:</t>
  </si>
  <si>
    <r>
      <t>De acordo com a regulação SOLAS, esta jangada insuflavel requer inspecção dentro de</t>
    </r>
    <r>
      <rPr>
        <b/>
        <sz val="8"/>
        <rFont val="Arial"/>
        <family val="2"/>
      </rPr>
      <t xml:space="preserve"> 12</t>
    </r>
    <r>
      <rPr>
        <sz val="8"/>
        <rFont val="Arial"/>
        <family val="2"/>
      </rPr>
      <t xml:space="preserve"> meses a partir da data de inspecção.</t>
    </r>
  </si>
  <si>
    <t>IM.051/00</t>
  </si>
  <si>
    <t>For authorized servicing station</t>
  </si>
  <si>
    <r>
      <t xml:space="preserve">Remarks/Modifications </t>
    </r>
    <r>
      <rPr>
        <sz val="8"/>
        <rFont val="Arial"/>
        <family val="2"/>
      </rPr>
      <t>Observações/Modificações</t>
    </r>
  </si>
  <si>
    <t>Flag of Ship:</t>
  </si>
  <si>
    <t>International call signal:</t>
  </si>
  <si>
    <t>QUADRO DE INSPECÇÃO DA JANGADA</t>
  </si>
  <si>
    <t>OBRA Nº:</t>
  </si>
  <si>
    <r>
      <t xml:space="preserve">                                      </t>
    </r>
    <r>
      <rPr>
        <b/>
        <sz val="18"/>
        <rFont val="Arial"/>
        <family val="2"/>
      </rPr>
      <t xml:space="preserve">   </t>
    </r>
  </si>
  <si>
    <t xml:space="preserve"> LIFERAFT INSPECTION SCHEDULE</t>
  </si>
  <si>
    <t xml:space="preserve">                     </t>
  </si>
  <si>
    <t>CERT. Nº</t>
  </si>
  <si>
    <t>JANGADA:</t>
  </si>
  <si>
    <t>NAVIO:</t>
  </si>
  <si>
    <t>MARCA/MODELO:</t>
  </si>
  <si>
    <t>LIFERAFT:</t>
  </si>
  <si>
    <t>SHIP:</t>
  </si>
  <si>
    <t>BRAND/TYPE:</t>
  </si>
  <si>
    <t>JANGADA - EXTERIOR</t>
  </si>
  <si>
    <t>Fecho da Cobertura</t>
  </si>
  <si>
    <t>Ajudas Térmicas</t>
  </si>
  <si>
    <t>LIFERAFT - EXTERNAL</t>
  </si>
  <si>
    <t>Closure for Canopy</t>
  </si>
  <si>
    <t>Thermal Protective Aids</t>
  </si>
  <si>
    <t>Cobertura Exterior</t>
  </si>
  <si>
    <t>Protectores de Juntas</t>
  </si>
  <si>
    <t>Ambulância</t>
  </si>
  <si>
    <t>Canopy External</t>
  </si>
  <si>
    <t>Seam Protective Tapes</t>
  </si>
  <si>
    <t>First Aid Kit</t>
  </si>
  <si>
    <t>Saída de Antena</t>
  </si>
  <si>
    <t>Colectores de Água</t>
  </si>
  <si>
    <t>Comprimidos p/ Enjoo</t>
  </si>
  <si>
    <t>Aerial Outlet</t>
  </si>
  <si>
    <t>Water Collectors</t>
  </si>
  <si>
    <t>Seasickness Tables</t>
  </si>
  <si>
    <t>Reflectores</t>
  </si>
  <si>
    <t>Manual de Instruções</t>
  </si>
  <si>
    <t>Foguetões Paraquedas</t>
  </si>
  <si>
    <t>Reflective Tape</t>
  </si>
  <si>
    <t>Instructions Manual</t>
  </si>
  <si>
    <t>Parachute Rockets</t>
  </si>
  <si>
    <t>Tubo de Identificação</t>
  </si>
  <si>
    <t>Tecido de Câmara e Fundo</t>
  </si>
  <si>
    <t>Fachos de Mão</t>
  </si>
  <si>
    <t>Identificatior card / tube</t>
  </si>
  <si>
    <t>Tubes and Floor Fabric</t>
  </si>
  <si>
    <t>Handflares</t>
  </si>
  <si>
    <t>Fecho do Saco de Emergência</t>
  </si>
  <si>
    <t>Potes de Fumo</t>
  </si>
  <si>
    <t>Seam Protecting Tapes</t>
  </si>
  <si>
    <t>Fastening for Emergency Pack</t>
  </si>
  <si>
    <t>Smoke Signals</t>
  </si>
  <si>
    <t>Câmara e Fundo</t>
  </si>
  <si>
    <t>Luz Interior e Bateria</t>
  </si>
  <si>
    <t>Lanterna</t>
  </si>
  <si>
    <t>Buoyancy Tubes and Floor</t>
  </si>
  <si>
    <t>Inside Light and Battery</t>
  </si>
  <si>
    <t>Torch with Spares</t>
  </si>
  <si>
    <t>Sistema de Endireitar</t>
  </si>
  <si>
    <t>Bateria de Lítio</t>
  </si>
  <si>
    <t>Pilhas para Lanterna</t>
  </si>
  <si>
    <t>Righting System</t>
  </si>
  <si>
    <t>Lithium Battery</t>
  </si>
  <si>
    <t>Torch Batteries</t>
  </si>
  <si>
    <t>Bolsas de Estabilização</t>
  </si>
  <si>
    <t>Válvulas de Insuflação</t>
  </si>
  <si>
    <t>Apito</t>
  </si>
  <si>
    <t>Stabilizing Pockets</t>
  </si>
  <si>
    <t>Inflation Valves</t>
  </si>
  <si>
    <t>Whistle</t>
  </si>
  <si>
    <t>Luz Exterior e Bateria</t>
  </si>
  <si>
    <t>Válvulas de Atestar</t>
  </si>
  <si>
    <t>Estojo de Pesca</t>
  </si>
  <si>
    <t>Top Light and Battery</t>
  </si>
  <si>
    <t>Topping Up Valves</t>
  </si>
  <si>
    <t>Fishing Kit</t>
  </si>
  <si>
    <t>Bateria Activada</t>
  </si>
  <si>
    <t>Suporte de Antena</t>
  </si>
  <si>
    <t>Esponjas</t>
  </si>
  <si>
    <t>Seacell Battery</t>
  </si>
  <si>
    <t>Aerial Support</t>
  </si>
  <si>
    <t>Sponges</t>
  </si>
  <si>
    <t>Rampa ou Escada</t>
  </si>
  <si>
    <t>Arco e Cinta de Remate</t>
  </si>
  <si>
    <t>Abre-Latas</t>
  </si>
  <si>
    <t>Boarding Ramp or Ladder</t>
  </si>
  <si>
    <t>Arch and Rubber Band</t>
  </si>
  <si>
    <t>Tin Openers</t>
  </si>
  <si>
    <t>Válvulas Segurança e Tampões</t>
  </si>
  <si>
    <t>ÍNVOLUCRO</t>
  </si>
  <si>
    <t>Tesouras</t>
  </si>
  <si>
    <t>Relief Valves and Stoppers</t>
  </si>
  <si>
    <t>CONTAINER</t>
  </si>
  <si>
    <t>Scissors</t>
  </si>
  <si>
    <t>União Banjo - Câmara Superior</t>
  </si>
  <si>
    <t>Cinta de Fecho</t>
  </si>
  <si>
    <t>Sacos para Enjoo</t>
  </si>
  <si>
    <t>Banjo Bolt - Lower Tube</t>
  </si>
  <si>
    <t>Bursting Band / Tape</t>
  </si>
  <si>
    <t>Seasickness Bags</t>
  </si>
  <si>
    <t>União Banjo - Câmara Inferior</t>
  </si>
  <si>
    <t>Saco de Retenida</t>
  </si>
  <si>
    <t>Heliógrafo</t>
  </si>
  <si>
    <t>Painter Line Bag</t>
  </si>
  <si>
    <t>Signalling Mirror</t>
  </si>
  <si>
    <t>Grinalda e Espelhos</t>
  </si>
  <si>
    <t>Comprimento da Retenida</t>
  </si>
  <si>
    <t>Manual de Sobrevivência</t>
  </si>
  <si>
    <t>Grabline and Patches</t>
  </si>
  <si>
    <t>Leght Painter Line</t>
  </si>
  <si>
    <t>Survival Manual</t>
  </si>
  <si>
    <t>Alça da Retenida e Espelhos</t>
  </si>
  <si>
    <t>Marcas do Invólucro</t>
  </si>
  <si>
    <t>Quadro de Sinais</t>
  </si>
  <si>
    <t>Crowfoot Bridle and Patches</t>
  </si>
  <si>
    <t>Markings on Container</t>
  </si>
  <si>
    <t>Signalling Table</t>
  </si>
  <si>
    <t>Tubos de Alta Pressão</t>
  </si>
  <si>
    <t>EQUIPAMENTO JANGADA</t>
  </si>
  <si>
    <t>Res. A761 (18)</t>
  </si>
  <si>
    <t>DATA</t>
  </si>
  <si>
    <t>High Pressure Hoses</t>
  </si>
  <si>
    <t>RAFT EQUIPMENT</t>
  </si>
  <si>
    <t>Cilindro CO2</t>
  </si>
  <si>
    <t>Tipo de Equipamento</t>
  </si>
  <si>
    <t>NAP - TEST</t>
  </si>
  <si>
    <t>Cylinder CO2</t>
  </si>
  <si>
    <t>Emergency Pack Type</t>
  </si>
  <si>
    <t>Cabeça de Disparo</t>
  </si>
  <si>
    <t>Pagaias</t>
  </si>
  <si>
    <t>FS - TEST</t>
  </si>
  <si>
    <t>Operating Head</t>
  </si>
  <si>
    <t>Paddles</t>
  </si>
  <si>
    <t>Cabo de Disparo</t>
  </si>
  <si>
    <t>Fole</t>
  </si>
  <si>
    <t>GI - TEST</t>
  </si>
  <si>
    <t>Operating Wire</t>
  </si>
  <si>
    <t>Bellows</t>
  </si>
  <si>
    <t>Capa do Sistema de Insuflação</t>
  </si>
  <si>
    <t>Jogo de Reparação</t>
  </si>
  <si>
    <t>LOAD - TEST</t>
  </si>
  <si>
    <t>Cover for Inflation System</t>
  </si>
  <si>
    <t>Repar Kit</t>
  </si>
  <si>
    <t>Bolsa do Cilindro</t>
  </si>
  <si>
    <t>Âncora Flutuante com Linha</t>
  </si>
  <si>
    <t>CILINDROS CO2</t>
  </si>
  <si>
    <t>Cylinder Pocket</t>
  </si>
  <si>
    <t>Sea Anchor with Line</t>
  </si>
  <si>
    <t>CO2 CYLINDERS</t>
  </si>
  <si>
    <t>JANGADA - INTERIOR</t>
  </si>
  <si>
    <t>Batedouro</t>
  </si>
  <si>
    <t>Cil. Nº:</t>
  </si>
  <si>
    <t>LIFERAFT - INTERNAL</t>
  </si>
  <si>
    <t>Bailer</t>
  </si>
  <si>
    <t>Cyl. No.</t>
  </si>
  <si>
    <t>Escada de Entrada</t>
  </si>
  <si>
    <t>Reflector de Radar</t>
  </si>
  <si>
    <t>Peso Bruto</t>
  </si>
  <si>
    <t>Entrance Ladder</t>
  </si>
  <si>
    <t>Radar Reflector</t>
  </si>
  <si>
    <t>Gross Weight</t>
  </si>
  <si>
    <t>Grinalda Interior</t>
  </si>
  <si>
    <t>EQUIP. DE EMERGÊNCIA</t>
  </si>
  <si>
    <t>Tara</t>
  </si>
  <si>
    <t>Grabline Internal</t>
  </si>
  <si>
    <t>Emergency Pack</t>
  </si>
  <si>
    <t>Tare</t>
  </si>
  <si>
    <t>Anel com Linha</t>
  </si>
  <si>
    <t>Saco de Água</t>
  </si>
  <si>
    <t>Carga CO2</t>
  </si>
  <si>
    <t>Quoit with Line</t>
  </si>
  <si>
    <t>Water Sachets</t>
  </si>
  <si>
    <t>CO2 Charge</t>
  </si>
  <si>
    <t>Facas de Segurança</t>
  </si>
  <si>
    <t>Copo Graduado</t>
  </si>
  <si>
    <t>Carga N2</t>
  </si>
  <si>
    <t>Safety Knifes</t>
  </si>
  <si>
    <t>Drinking Cup</t>
  </si>
  <si>
    <t>N2 Charge</t>
  </si>
  <si>
    <t>Cobertura Interior</t>
  </si>
  <si>
    <t>Rações Alimentares 0,5 Kg</t>
  </si>
  <si>
    <t>Teste Hid.</t>
  </si>
  <si>
    <t>Canopy Internal</t>
  </si>
  <si>
    <t>Food Rations 0,5 Kg</t>
  </si>
  <si>
    <t>Hyd. Test</t>
  </si>
  <si>
    <t>ENSAIOS DE PRESSÃO Pressure Tests</t>
  </si>
  <si>
    <t>Unidade Pressão</t>
  </si>
  <si>
    <t>Temp. Atmosférica</t>
  </si>
  <si>
    <t>Inicial</t>
  </si>
  <si>
    <t>Final</t>
  </si>
  <si>
    <t>Pressure Unit</t>
  </si>
  <si>
    <t>Atm. Temperature</t>
  </si>
  <si>
    <t>Star</t>
  </si>
  <si>
    <t>End</t>
  </si>
  <si>
    <t>Início / Star</t>
  </si>
  <si>
    <t>Final / Off</t>
  </si>
  <si>
    <t>Queda &lt; 5%</t>
  </si>
  <si>
    <t>Pre. Atmosférica</t>
  </si>
  <si>
    <t>Drop</t>
  </si>
  <si>
    <t>Atm. Pressure</t>
  </si>
  <si>
    <t>Câmara Superior + Arco</t>
  </si>
  <si>
    <r>
      <t xml:space="preserve">Notas                                                                 </t>
    </r>
    <r>
      <rPr>
        <sz val="16"/>
        <rFont val="Arial"/>
        <family val="2"/>
      </rPr>
      <t>Remarks</t>
    </r>
  </si>
  <si>
    <t>Upper Tube + Arch</t>
  </si>
  <si>
    <t>Câmara Inferior</t>
  </si>
  <si>
    <t>Lower Tube</t>
  </si>
  <si>
    <t>Fundo (Chão)</t>
  </si>
  <si>
    <t>Floor</t>
  </si>
  <si>
    <t xml:space="preserve">Rampa </t>
  </si>
  <si>
    <t>DATA FABRICO:</t>
  </si>
  <si>
    <t xml:space="preserve">Boarding Ramp </t>
  </si>
  <si>
    <t>MANUF. DATE:</t>
  </si>
  <si>
    <t>Estação de Serviço:</t>
  </si>
  <si>
    <t xml:space="preserve">Data de Insp.: </t>
  </si>
  <si>
    <t>Assinatura:</t>
  </si>
  <si>
    <t>Service Station</t>
  </si>
  <si>
    <t>Inspection Date:</t>
  </si>
  <si>
    <t>IM.048/02</t>
  </si>
  <si>
    <t>N/A</t>
  </si>
  <si>
    <t>SOLAS</t>
  </si>
  <si>
    <t>(1)</t>
  </si>
  <si>
    <t>(4)</t>
  </si>
  <si>
    <t>NO</t>
  </si>
  <si>
    <t>PU</t>
  </si>
  <si>
    <t>10 MT</t>
  </si>
  <si>
    <t xml:space="preserve">OREY TÉCNICA </t>
  </si>
  <si>
    <t>ok</t>
  </si>
  <si>
    <t xml:space="preserve">inH2O [  ] inHg [   ] mbar [X] </t>
  </si>
  <si>
    <r>
      <rPr>
        <sz val="6.5"/>
        <color indexed="62"/>
        <rFont val="Times New Roman"/>
        <family val="1"/>
      </rPr>
      <t>OREY GROUP</t>
    </r>
    <r>
      <rPr>
        <sz val="6.5"/>
        <rFont val="Times New Roman"/>
        <family val="1"/>
      </rPr>
      <t>:   OREY Financial   |   OREY International   |   OREY Shipping   |   OREY Technical</t>
    </r>
    <r>
      <rPr>
        <sz val="8"/>
        <rFont val="Arial"/>
        <family val="2"/>
      </rPr>
      <t xml:space="preserve">
</t>
    </r>
    <r>
      <rPr>
        <b/>
        <sz val="9"/>
        <rFont val="Arial"/>
        <family val="2"/>
      </rPr>
      <t>Orey Técnica – Serviços Navais, Lda</t>
    </r>
    <r>
      <rPr>
        <sz val="8"/>
        <rFont val="Arial"/>
        <family val="2"/>
      </rPr>
      <t xml:space="preserve">
Polígono Industrial Lezíria Park, Armazém 2, E.N. 10, 2625-445 Forte da Casa   Tel:+(351) 213 610 890   Fax:+(351) 213 640 144   E-mail: </t>
    </r>
    <r>
      <rPr>
        <u/>
        <sz val="8"/>
        <color indexed="30"/>
        <rFont val="Arial"/>
        <family val="2"/>
      </rPr>
      <t>orey-tecnica@orey.com</t>
    </r>
    <r>
      <rPr>
        <sz val="8"/>
        <color indexed="62"/>
        <rFont val="Arial"/>
        <family val="2"/>
      </rPr>
      <t xml:space="preserve">  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Norte:</t>
    </r>
    <r>
      <rPr>
        <sz val="8"/>
        <rFont val="Arial"/>
        <family val="2"/>
      </rPr>
      <t xml:space="preserve"> Rua Roberto Ivens, nº 315, 4450-253 Matosinhos   Tel:+(351) 229 363 490   Fax:+(351) 229 363 491   E-mail: </t>
    </r>
    <r>
      <rPr>
        <u/>
        <sz val="8"/>
        <color indexed="30"/>
        <rFont val="Arial"/>
        <family val="2"/>
      </rPr>
      <t>leixoes.tecnica@orey.com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Sul:</t>
    </r>
    <r>
      <rPr>
        <sz val="8"/>
        <rFont val="Arial"/>
        <family val="2"/>
      </rPr>
      <t xml:space="preserve"> Zona Industrial e Comercial do Rogel, Lt.3, Fracção G, 8365-204 Alcantarilha Tel:+(351) 282 322 795 Fax:+(351) 282 322 156  E-mail:</t>
    </r>
    <r>
      <rPr>
        <u/>
        <sz val="8"/>
        <color indexed="30"/>
        <rFont val="Arial"/>
        <family val="2"/>
      </rPr>
      <t>algarve.tecnica@orey.com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Açores:</t>
    </r>
    <r>
      <rPr>
        <sz val="8"/>
        <rFont val="Arial"/>
        <family val="2"/>
      </rPr>
      <t xml:space="preserve"> Zona Industrial dos Portões Vermelhos, Armazém 19, 9560-350 Cabouco-Lagoa Tel:+(351) 296 929 314  Fax:+(351) 296 929 315   E-mail: </t>
    </r>
    <r>
      <rPr>
        <u/>
        <sz val="8"/>
        <color indexed="30"/>
        <rFont val="Arial"/>
        <family val="2"/>
      </rPr>
      <t>azores.tecnica@orey.com</t>
    </r>
    <r>
      <rPr>
        <sz val="8"/>
        <rFont val="Arial"/>
        <family val="2"/>
      </rPr>
      <t xml:space="preserve">
</t>
    </r>
    <r>
      <rPr>
        <u/>
        <sz val="8"/>
        <color indexed="30"/>
        <rFont val="Arial"/>
        <family val="2"/>
      </rPr>
      <t>www.oreytecnica.com</t>
    </r>
    <r>
      <rPr>
        <sz val="8"/>
        <color indexed="30"/>
        <rFont val="Arial"/>
        <family val="2"/>
      </rPr>
      <t xml:space="preserve">  </t>
    </r>
  </si>
  <si>
    <t>~(2)</t>
  </si>
  <si>
    <t>4,112</t>
  </si>
  <si>
    <t>JÚLIO CORREA</t>
  </si>
  <si>
    <t>1020 Hpa</t>
  </si>
  <si>
    <t>XDC7GB83B717</t>
  </si>
  <si>
    <t>ILHEU AZUL</t>
  </si>
  <si>
    <t>ZODIAC COASTAL</t>
  </si>
  <si>
    <t>DK99</t>
  </si>
  <si>
    <t>Z6P005</t>
  </si>
  <si>
    <t>7,235</t>
  </si>
  <si>
    <t>0,14</t>
  </si>
  <si>
    <t>04/16</t>
  </si>
  <si>
    <t>JOÃO GABRIEL COSTA PINHEIRO</t>
  </si>
  <si>
    <t>02-2017</t>
  </si>
  <si>
    <t>PORTUGAL</t>
  </si>
  <si>
    <t>22 Cº</t>
  </si>
  <si>
    <t>08/2027</t>
  </si>
  <si>
    <t>04/27</t>
  </si>
  <si>
    <t>05/27</t>
  </si>
  <si>
    <t>AZ25-152</t>
  </si>
  <si>
    <t>07/26</t>
  </si>
  <si>
    <t xml:space="preserve"> 08/27</t>
  </si>
  <si>
    <t>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</si>
</sst>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mm/yyyy"/>
    <numFmt numFmtId="166" formatCode="0.0"/>
  </numFmts>
  <fonts count="29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sz val="16"/>
      <name val="Arial"/>
      <family val="2"/>
    </font>
    <font>
      <sz val="14"/>
      <color theme="0"/>
      <name val="Arial"/>
      <family val="2"/>
    </font>
    <font>
      <b/>
      <sz val="14"/>
      <color theme="0"/>
      <name val="Arial"/>
      <family val="2"/>
    </font>
    <font>
      <b/>
      <sz val="10"/>
      <color rgb="FF002060"/>
      <name val="Arial"/>
      <family val="2"/>
    </font>
    <font>
      <sz val="6.5"/>
      <color indexed="62"/>
      <name val="Times New Roman"/>
      <family val="1"/>
    </font>
    <font>
      <sz val="6.5"/>
      <name val="Times New Roman"/>
      <family val="1"/>
    </font>
    <font>
      <b/>
      <sz val="9"/>
      <name val="Arial"/>
      <family val="2"/>
    </font>
    <font>
      <u/>
      <sz val="8"/>
      <color indexed="30"/>
      <name val="Arial"/>
      <family val="2"/>
    </font>
    <font>
      <sz val="8"/>
      <color indexed="62"/>
      <name val="Arial"/>
      <family val="2"/>
    </font>
    <font>
      <sz val="8"/>
      <color indexed="3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2">
    <xf numFmtId="0" fontId="0" fillId="0" borderId="0"/>
    <xf numFmtId="0" fontId="1" fillId="0" borderId="0"/>
  </cellStyleXfs>
  <cellXfs count="308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top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9" fillId="0" borderId="0" xfId="0" applyFont="1" applyAlignment="1" applyProtection="1">
      <alignment horizontal="center"/>
      <protection locked="0"/>
    </xf>
    <xf numFmtId="0" fontId="3" fillId="0" borderId="16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top"/>
    </xf>
    <xf numFmtId="0" fontId="9" fillId="0" borderId="2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>
      <alignment horizontal="center" vertical="top"/>
    </xf>
    <xf numFmtId="0" fontId="9" fillId="0" borderId="0" xfId="0" applyFont="1" applyProtection="1">
      <protection locked="0"/>
    </xf>
    <xf numFmtId="0" fontId="9" fillId="0" borderId="0" xfId="0" applyFont="1"/>
    <xf numFmtId="0" fontId="9" fillId="0" borderId="0" xfId="0" applyFont="1" applyAlignment="1" applyProtection="1">
      <alignment vertical="center"/>
      <protection locked="0"/>
    </xf>
    <xf numFmtId="0" fontId="13" fillId="0" borderId="0" xfId="0" applyFont="1" applyAlignment="1">
      <alignment horizontal="center" vertical="center"/>
    </xf>
    <xf numFmtId="0" fontId="13" fillId="0" borderId="0" xfId="0" applyFont="1"/>
    <xf numFmtId="0" fontId="13" fillId="0" borderId="0" xfId="0" applyFont="1" applyAlignment="1">
      <alignment horizontal="left" vertical="top"/>
    </xf>
    <xf numFmtId="0" fontId="13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 applyProtection="1">
      <alignment vertical="center"/>
      <protection locked="0"/>
    </xf>
    <xf numFmtId="0" fontId="2" fillId="0" borderId="0" xfId="0" applyFont="1" applyAlignment="1">
      <alignment horizontal="left" vertical="top"/>
    </xf>
    <xf numFmtId="0" fontId="2" fillId="0" borderId="0" xfId="0" applyFont="1"/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10" fillId="0" borderId="0" xfId="0" applyFont="1" applyAlignment="1" applyProtection="1">
      <alignment vertical="center"/>
      <protection locked="0"/>
    </xf>
    <xf numFmtId="0" fontId="13" fillId="0" borderId="5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0" fontId="13" fillId="0" borderId="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49" fontId="9" fillId="0" borderId="0" xfId="0" applyNumberFormat="1" applyFont="1" applyAlignment="1" applyProtection="1">
      <alignment vertical="center"/>
      <protection locked="0"/>
    </xf>
    <xf numFmtId="0" fontId="14" fillId="0" borderId="7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vertical="center" wrapText="1"/>
    </xf>
    <xf numFmtId="0" fontId="13" fillId="0" borderId="5" xfId="0" applyFont="1" applyBorder="1" applyAlignment="1">
      <alignment vertical="center"/>
    </xf>
    <xf numFmtId="0" fontId="13" fillId="0" borderId="7" xfId="0" applyFont="1" applyBorder="1" applyAlignment="1">
      <alignment vertical="center"/>
    </xf>
    <xf numFmtId="0" fontId="15" fillId="0" borderId="0" xfId="1" applyFont="1"/>
    <xf numFmtId="0" fontId="16" fillId="0" borderId="0" xfId="1" applyFont="1" applyAlignment="1">
      <alignment horizontal="centerContinuous"/>
    </xf>
    <xf numFmtId="0" fontId="16" fillId="0" borderId="0" xfId="1" applyFont="1" applyAlignment="1">
      <alignment horizontal="centerContinuous" vertical="center"/>
    </xf>
    <xf numFmtId="0" fontId="19" fillId="0" borderId="0" xfId="1" applyFont="1"/>
    <xf numFmtId="0" fontId="12" fillId="0" borderId="5" xfId="1" applyFont="1" applyBorder="1"/>
    <xf numFmtId="0" fontId="12" fillId="7" borderId="5" xfId="1" applyFont="1" applyFill="1" applyBorder="1"/>
    <xf numFmtId="0" fontId="15" fillId="0" borderId="2" xfId="1" applyFont="1" applyBorder="1"/>
    <xf numFmtId="0" fontId="15" fillId="7" borderId="2" xfId="1" applyFont="1" applyFill="1" applyBorder="1"/>
    <xf numFmtId="0" fontId="15" fillId="0" borderId="3" xfId="1" applyFont="1" applyBorder="1"/>
    <xf numFmtId="0" fontId="12" fillId="0" borderId="0" xfId="1" applyFont="1" applyAlignment="1">
      <alignment horizontal="right"/>
    </xf>
    <xf numFmtId="0" fontId="20" fillId="7" borderId="0" xfId="1" applyFont="1" applyFill="1"/>
    <xf numFmtId="16" fontId="21" fillId="7" borderId="0" xfId="1" applyNumberFormat="1" applyFont="1" applyFill="1" applyAlignment="1">
      <alignment horizontal="left"/>
    </xf>
    <xf numFmtId="0" fontId="21" fillId="7" borderId="4" xfId="1" applyFont="1" applyFill="1" applyBorder="1" applyAlignment="1">
      <alignment horizontal="left"/>
    </xf>
    <xf numFmtId="0" fontId="12" fillId="2" borderId="5" xfId="1" applyFont="1" applyFill="1" applyBorder="1"/>
    <xf numFmtId="0" fontId="12" fillId="2" borderId="7" xfId="1" applyFont="1" applyFill="1" applyBorder="1" applyAlignment="1">
      <alignment horizontal="right"/>
    </xf>
    <xf numFmtId="0" fontId="12" fillId="0" borderId="7" xfId="1" applyFont="1" applyBorder="1"/>
    <xf numFmtId="0" fontId="16" fillId="0" borderId="6" xfId="1" applyFont="1" applyBorder="1" applyAlignment="1">
      <alignment horizontal="right"/>
    </xf>
    <xf numFmtId="0" fontId="16" fillId="0" borderId="7" xfId="1" applyFont="1" applyBorder="1" applyAlignment="1">
      <alignment horizontal="right"/>
    </xf>
    <xf numFmtId="0" fontId="16" fillId="0" borderId="6" xfId="1" applyFont="1" applyBorder="1" applyAlignment="1">
      <alignment horizontal="left"/>
    </xf>
    <xf numFmtId="0" fontId="12" fillId="0" borderId="0" xfId="1" applyFont="1"/>
    <xf numFmtId="0" fontId="15" fillId="2" borderId="3" xfId="1" applyFont="1" applyFill="1" applyBorder="1"/>
    <xf numFmtId="0" fontId="16" fillId="2" borderId="0" xfId="1" applyFont="1" applyFill="1" applyAlignment="1">
      <alignment horizontal="right"/>
    </xf>
    <xf numFmtId="0" fontId="16" fillId="0" borderId="4" xfId="1" applyFont="1" applyBorder="1" applyAlignment="1">
      <alignment horizontal="right"/>
    </xf>
    <xf numFmtId="0" fontId="16" fillId="0" borderId="0" xfId="1" applyFont="1" applyAlignment="1">
      <alignment horizontal="right"/>
    </xf>
    <xf numFmtId="0" fontId="16" fillId="0" borderId="4" xfId="1" applyFont="1" applyBorder="1" applyAlignment="1">
      <alignment horizontal="left"/>
    </xf>
    <xf numFmtId="0" fontId="16" fillId="0" borderId="1" xfId="1" applyFont="1" applyBorder="1" applyAlignment="1">
      <alignment horizontal="right"/>
    </xf>
    <xf numFmtId="0" fontId="15" fillId="0" borderId="8" xfId="1" applyFont="1" applyBorder="1"/>
    <xf numFmtId="49" fontId="16" fillId="3" borderId="8" xfId="1" applyNumberFormat="1" applyFont="1" applyFill="1" applyBorder="1" applyAlignment="1" applyProtection="1">
      <alignment horizontal="right" vertical="center"/>
      <protection locked="0"/>
    </xf>
    <xf numFmtId="49" fontId="16" fillId="3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3" xfId="1" applyFont="1" applyBorder="1"/>
    <xf numFmtId="16" fontId="16" fillId="0" borderId="6" xfId="1" applyNumberFormat="1" applyFont="1" applyBorder="1" applyAlignment="1">
      <alignment horizontal="left"/>
    </xf>
    <xf numFmtId="0" fontId="16" fillId="0" borderId="8" xfId="1" applyFont="1" applyBorder="1" applyAlignment="1">
      <alignment horizontal="right"/>
    </xf>
    <xf numFmtId="49" fontId="16" fillId="0" borderId="1" xfId="1" applyNumberFormat="1" applyFont="1" applyBorder="1" applyAlignment="1">
      <alignment horizontal="right"/>
    </xf>
    <xf numFmtId="0" fontId="16" fillId="0" borderId="1" xfId="1" applyFont="1" applyBorder="1" applyAlignment="1">
      <alignment horizontal="left"/>
    </xf>
    <xf numFmtId="0" fontId="12" fillId="2" borderId="3" xfId="1" applyFont="1" applyFill="1" applyBorder="1"/>
    <xf numFmtId="0" fontId="12" fillId="2" borderId="0" xfId="1" applyFont="1" applyFill="1"/>
    <xf numFmtId="0" fontId="16" fillId="2" borderId="4" xfId="1" applyFont="1" applyFill="1" applyBorder="1" applyAlignment="1">
      <alignment horizontal="right"/>
    </xf>
    <xf numFmtId="0" fontId="16" fillId="3" borderId="0" xfId="1" applyFont="1" applyFill="1" applyAlignment="1">
      <alignment horizontal="right"/>
    </xf>
    <xf numFmtId="0" fontId="15" fillId="2" borderId="0" xfId="1" applyFont="1" applyFill="1"/>
    <xf numFmtId="0" fontId="16" fillId="2" borderId="4" xfId="1" applyFont="1" applyFill="1" applyBorder="1" applyAlignment="1" applyProtection="1">
      <alignment horizontal="right" vertical="center"/>
      <protection locked="0"/>
    </xf>
    <xf numFmtId="0" fontId="16" fillId="3" borderId="1" xfId="1" applyFont="1" applyFill="1" applyBorder="1" applyAlignment="1" applyProtection="1">
      <alignment horizontal="right" vertical="center"/>
      <protection locked="0"/>
    </xf>
    <xf numFmtId="0" fontId="16" fillId="2" borderId="7" xfId="1" applyFont="1" applyFill="1" applyBorder="1" applyAlignment="1">
      <alignment horizontal="right"/>
    </xf>
    <xf numFmtId="0" fontId="12" fillId="2" borderId="6" xfId="1" applyFont="1" applyFill="1" applyBorder="1"/>
    <xf numFmtId="0" fontId="12" fillId="2" borderId="7" xfId="1" applyFont="1" applyFill="1" applyBorder="1"/>
    <xf numFmtId="0" fontId="15" fillId="2" borderId="2" xfId="1" applyFont="1" applyFill="1" applyBorder="1"/>
    <xf numFmtId="0" fontId="16" fillId="2" borderId="8" xfId="1" applyFont="1" applyFill="1" applyBorder="1" applyAlignment="1">
      <alignment horizontal="right"/>
    </xf>
    <xf numFmtId="0" fontId="15" fillId="2" borderId="1" xfId="1" applyFont="1" applyFill="1" applyBorder="1"/>
    <xf numFmtId="0" fontId="15" fillId="2" borderId="4" xfId="1" applyFont="1" applyFill="1" applyBorder="1"/>
    <xf numFmtId="0" fontId="16" fillId="0" borderId="5" xfId="1" applyFont="1" applyBorder="1" applyAlignment="1">
      <alignment horizontal="left"/>
    </xf>
    <xf numFmtId="0" fontId="16" fillId="4" borderId="1" xfId="1" applyFont="1" applyFill="1" applyBorder="1" applyAlignment="1" applyProtection="1">
      <alignment horizontal="right" vertical="center"/>
      <protection locked="0"/>
    </xf>
    <xf numFmtId="49" fontId="16" fillId="4" borderId="2" xfId="1" applyNumberFormat="1" applyFont="1" applyFill="1" applyBorder="1" applyAlignment="1" applyProtection="1">
      <alignment horizontal="right" vertical="center"/>
      <protection locked="0"/>
    </xf>
    <xf numFmtId="49" fontId="16" fillId="4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6" xfId="1" applyFont="1" applyBorder="1"/>
    <xf numFmtId="0" fontId="16" fillId="0" borderId="0" xfId="1" applyFont="1" applyAlignment="1">
      <alignment horizontal="left"/>
    </xf>
    <xf numFmtId="0" fontId="15" fillId="0" borderId="1" xfId="1" applyFont="1" applyBorder="1"/>
    <xf numFmtId="0" fontId="16" fillId="0" borderId="7" xfId="1" applyFont="1" applyBorder="1" applyAlignment="1">
      <alignment horizontal="left"/>
    </xf>
    <xf numFmtId="0" fontId="15" fillId="0" borderId="4" xfId="1" applyFont="1" applyBorder="1"/>
    <xf numFmtId="0" fontId="15" fillId="2" borderId="8" xfId="1" applyFont="1" applyFill="1" applyBorder="1"/>
    <xf numFmtId="0" fontId="16" fillId="2" borderId="6" xfId="1" applyFont="1" applyFill="1" applyBorder="1" applyAlignment="1">
      <alignment horizontal="right"/>
    </xf>
    <xf numFmtId="0" fontId="16" fillId="2" borderId="1" xfId="1" applyFont="1" applyFill="1" applyBorder="1" applyAlignment="1">
      <alignment horizontal="right"/>
    </xf>
    <xf numFmtId="49" fontId="16" fillId="0" borderId="1" xfId="1" applyNumberFormat="1" applyFont="1" applyBorder="1" applyAlignment="1" applyProtection="1">
      <alignment horizontal="right" vertical="center"/>
      <protection locked="0"/>
    </xf>
    <xf numFmtId="0" fontId="15" fillId="0" borderId="7" xfId="1" applyFont="1" applyBorder="1"/>
    <xf numFmtId="0" fontId="12" fillId="4" borderId="9" xfId="1" applyFont="1" applyFill="1" applyBorder="1" applyAlignment="1">
      <alignment horizontal="left"/>
    </xf>
    <xf numFmtId="49" fontId="16" fillId="4" borderId="9" xfId="1" applyNumberFormat="1" applyFont="1" applyFill="1" applyBorder="1" applyAlignment="1" applyProtection="1">
      <alignment vertical="center"/>
      <protection locked="0"/>
    </xf>
    <xf numFmtId="0" fontId="12" fillId="4" borderId="5" xfId="1" applyFont="1" applyFill="1" applyBorder="1" applyAlignment="1">
      <alignment horizontal="left"/>
    </xf>
    <xf numFmtId="0" fontId="15" fillId="4" borderId="10" xfId="1" applyFont="1" applyFill="1" applyBorder="1" applyAlignment="1">
      <alignment horizontal="left"/>
    </xf>
    <xf numFmtId="49" fontId="19" fillId="4" borderId="10" xfId="1" applyNumberFormat="1" applyFont="1" applyFill="1" applyBorder="1" applyAlignment="1" applyProtection="1">
      <alignment vertical="center"/>
      <protection locked="0"/>
    </xf>
    <xf numFmtId="0" fontId="15" fillId="4" borderId="2" xfId="1" applyFont="1" applyFill="1" applyBorder="1" applyAlignment="1">
      <alignment horizontal="left"/>
    </xf>
    <xf numFmtId="0" fontId="12" fillId="4" borderId="11" xfId="1" applyFont="1" applyFill="1" applyBorder="1" applyAlignment="1">
      <alignment horizontal="center"/>
    </xf>
    <xf numFmtId="0" fontId="12" fillId="4" borderId="9" xfId="1" applyFont="1" applyFill="1" applyBorder="1" applyAlignment="1">
      <alignment horizontal="center"/>
    </xf>
    <xf numFmtId="20" fontId="12" fillId="4" borderId="12" xfId="1" applyNumberFormat="1" applyFont="1" applyFill="1" applyBorder="1" applyAlignment="1">
      <alignment horizontal="center" vertical="center"/>
    </xf>
    <xf numFmtId="0" fontId="15" fillId="4" borderId="10" xfId="1" applyFont="1" applyFill="1" applyBorder="1" applyAlignment="1">
      <alignment horizontal="left" vertical="center"/>
    </xf>
    <xf numFmtId="0" fontId="15" fillId="4" borderId="2" xfId="1" applyFont="1" applyFill="1" applyBorder="1" applyAlignment="1">
      <alignment horizontal="left" vertical="center"/>
    </xf>
    <xf numFmtId="0" fontId="12" fillId="4" borderId="5" xfId="1" applyFont="1" applyFill="1" applyBorder="1"/>
    <xf numFmtId="0" fontId="15" fillId="4" borderId="2" xfId="1" applyFont="1" applyFill="1" applyBorder="1"/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5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2" fillId="8" borderId="5" xfId="1" applyFont="1" applyFill="1" applyBorder="1" applyAlignment="1">
      <alignment horizontal="left" vertical="center"/>
    </xf>
    <xf numFmtId="0" fontId="12" fillId="8" borderId="7" xfId="1" applyFont="1" applyFill="1" applyBorder="1" applyAlignment="1">
      <alignment horizontal="left" vertical="center"/>
    </xf>
    <xf numFmtId="0" fontId="15" fillId="8" borderId="2" xfId="1" applyFont="1" applyFill="1" applyBorder="1" applyAlignment="1">
      <alignment horizontal="left" vertical="center"/>
    </xf>
    <xf numFmtId="0" fontId="15" fillId="8" borderId="8" xfId="1" applyFont="1" applyFill="1" applyBorder="1" applyAlignment="1">
      <alignment horizontal="left" vertical="center"/>
    </xf>
    <xf numFmtId="0" fontId="15" fillId="0" borderId="0" xfId="1" applyFont="1" applyAlignment="1">
      <alignment horizontal="center"/>
    </xf>
    <xf numFmtId="49" fontId="12" fillId="0" borderId="0" xfId="1" applyNumberFormat="1" applyFont="1"/>
    <xf numFmtId="0" fontId="22" fillId="0" borderId="2" xfId="0" applyFont="1" applyBorder="1" applyAlignment="1" applyProtection="1">
      <alignment horizontal="center" vertical="center"/>
      <protection locked="0"/>
    </xf>
    <xf numFmtId="0" fontId="22" fillId="0" borderId="8" xfId="0" applyFont="1" applyBorder="1" applyAlignment="1" applyProtection="1">
      <alignment horizontal="center" vertical="center"/>
      <protection locked="0"/>
    </xf>
    <xf numFmtId="0" fontId="22" fillId="0" borderId="1" xfId="0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top"/>
    </xf>
    <xf numFmtId="14" fontId="22" fillId="0" borderId="2" xfId="0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49" fontId="9" fillId="0" borderId="7" xfId="0" applyNumberFormat="1" applyFont="1" applyBorder="1" applyAlignment="1" applyProtection="1">
      <alignment horizontal="center" vertical="center"/>
      <protection locked="0"/>
    </xf>
    <xf numFmtId="0" fontId="9" fillId="0" borderId="6" xfId="0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14" fontId="22" fillId="0" borderId="8" xfId="0" applyNumberFormat="1" applyFont="1" applyBorder="1" applyAlignment="1" applyProtection="1">
      <alignment horizontal="center" vertical="center"/>
      <protection locked="0"/>
    </xf>
    <xf numFmtId="14" fontId="22" fillId="0" borderId="1" xfId="0" applyNumberFormat="1" applyFont="1" applyBorder="1" applyAlignment="1" applyProtection="1">
      <alignment horizontal="center" vertical="center"/>
      <protection locked="0"/>
    </xf>
    <xf numFmtId="0" fontId="8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4" fillId="0" borderId="0" xfId="0" applyFont="1" applyAlignment="1" applyProtection="1">
      <alignment horizontal="center" vertical="center"/>
      <protection locked="0"/>
    </xf>
    <xf numFmtId="0" fontId="1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top"/>
    </xf>
    <xf numFmtId="49" fontId="9" fillId="0" borderId="6" xfId="0" applyNumberFormat="1" applyFont="1" applyBorder="1" applyAlignment="1" applyProtection="1">
      <alignment horizontal="center" vertical="center"/>
      <protection locked="0"/>
    </xf>
    <xf numFmtId="49" fontId="22" fillId="0" borderId="6" xfId="0" applyNumberFormat="1" applyFont="1" applyBorder="1" applyAlignment="1" applyProtection="1">
      <alignment horizontal="center" vertical="center"/>
      <protection locked="0"/>
    </xf>
    <xf numFmtId="49" fontId="22" fillId="0" borderId="7" xfId="0" applyNumberFormat="1" applyFont="1" applyBorder="1" applyAlignment="1" applyProtection="1">
      <alignment horizontal="center" vertical="center"/>
      <protection locked="0"/>
    </xf>
    <xf numFmtId="0" fontId="22" fillId="0" borderId="6" xfId="0" applyFont="1" applyBorder="1" applyAlignment="1" applyProtection="1">
      <alignment horizontal="center" vertical="center"/>
      <protection locked="0"/>
    </xf>
    <xf numFmtId="49" fontId="22" fillId="0" borderId="13" xfId="0" applyNumberFormat="1" applyFont="1" applyBorder="1" applyAlignment="1" applyProtection="1">
      <alignment horizontal="center" vertical="center"/>
      <protection locked="0"/>
    </xf>
    <xf numFmtId="0" fontId="22" fillId="0" borderId="14" xfId="0" applyFont="1" applyBorder="1" applyAlignment="1" applyProtection="1">
      <alignment horizontal="center" vertical="center"/>
      <protection locked="0"/>
    </xf>
    <xf numFmtId="0" fontId="22" fillId="0" borderId="15" xfId="0" applyFont="1" applyBorder="1" applyAlignment="1" applyProtection="1">
      <alignment horizontal="center" vertical="center"/>
      <protection locked="0"/>
    </xf>
    <xf numFmtId="0" fontId="22" fillId="0" borderId="13" xfId="0" applyFont="1" applyBorder="1" applyAlignment="1" applyProtection="1">
      <alignment horizontal="center" vertical="center"/>
      <protection locked="0"/>
    </xf>
    <xf numFmtId="49" fontId="9" fillId="0" borderId="13" xfId="0" applyNumberFormat="1" applyFont="1" applyBorder="1" applyAlignment="1" applyProtection="1">
      <alignment horizontal="center" vertical="center"/>
      <protection locked="0"/>
    </xf>
    <xf numFmtId="49" fontId="9" fillId="0" borderId="14" xfId="0" applyNumberFormat="1" applyFont="1" applyBorder="1" applyAlignment="1" applyProtection="1">
      <alignment horizontal="center" vertical="center"/>
      <protection locked="0"/>
    </xf>
    <xf numFmtId="49" fontId="9" fillId="0" borderId="15" xfId="0" applyNumberFormat="1" applyFont="1" applyBorder="1" applyAlignment="1" applyProtection="1">
      <alignment horizontal="center" vertical="center"/>
      <protection locked="0"/>
    </xf>
    <xf numFmtId="0" fontId="13" fillId="0" borderId="5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1" fontId="9" fillId="0" borderId="5" xfId="0" applyNumberFormat="1" applyFont="1" applyBorder="1" applyAlignment="1" applyProtection="1">
      <alignment horizontal="center" vertical="center"/>
      <protection locked="0"/>
    </xf>
    <xf numFmtId="1" fontId="9" fillId="0" borderId="6" xfId="0" applyNumberFormat="1" applyFont="1" applyBorder="1" applyAlignment="1" applyProtection="1">
      <alignment horizontal="center" vertical="center"/>
      <protection locked="0"/>
    </xf>
    <xf numFmtId="1" fontId="9" fillId="0" borderId="2" xfId="0" applyNumberFormat="1" applyFont="1" applyBorder="1" applyAlignment="1" applyProtection="1">
      <alignment horizontal="center" vertical="center"/>
      <protection locked="0"/>
    </xf>
    <xf numFmtId="1" fontId="9" fillId="0" borderId="1" xfId="0" applyNumberFormat="1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49" fontId="9" fillId="0" borderId="5" xfId="0" applyNumberFormat="1" applyFont="1" applyBorder="1" applyAlignment="1" applyProtection="1">
      <alignment horizontal="center" vertical="center"/>
      <protection locked="0"/>
    </xf>
    <xf numFmtId="0" fontId="9" fillId="0" borderId="2" xfId="0" applyFont="1" applyBorder="1" applyAlignment="1" applyProtection="1">
      <alignment horizontal="center" vertical="center"/>
      <protection locked="0"/>
    </xf>
    <xf numFmtId="49" fontId="9" fillId="0" borderId="2" xfId="0" applyNumberFormat="1" applyFont="1" applyBorder="1" applyAlignment="1" applyProtection="1">
      <alignment horizontal="center" vertical="center"/>
      <protection locked="0"/>
    </xf>
    <xf numFmtId="49" fontId="9" fillId="0" borderId="1" xfId="0" applyNumberFormat="1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>
      <alignment horizontal="center" vertical="top"/>
    </xf>
    <xf numFmtId="0" fontId="22" fillId="0" borderId="5" xfId="0" applyFont="1" applyBorder="1" applyAlignment="1" applyProtection="1">
      <alignment horizontal="center" vertical="center"/>
      <protection locked="0"/>
    </xf>
    <xf numFmtId="1" fontId="22" fillId="0" borderId="5" xfId="0" applyNumberFormat="1" applyFont="1" applyBorder="1" applyAlignment="1" applyProtection="1">
      <alignment horizontal="center" vertical="center"/>
      <protection locked="0"/>
    </xf>
    <xf numFmtId="1" fontId="22" fillId="0" borderId="6" xfId="0" applyNumberFormat="1" applyFont="1" applyBorder="1" applyAlignment="1" applyProtection="1">
      <alignment horizontal="center" vertical="center"/>
      <protection locked="0"/>
    </xf>
    <xf numFmtId="1" fontId="22" fillId="0" borderId="2" xfId="0" applyNumberFormat="1" applyFont="1" applyBorder="1" applyAlignment="1" applyProtection="1">
      <alignment horizontal="center" vertical="center"/>
      <protection locked="0"/>
    </xf>
    <xf numFmtId="1" fontId="22" fillId="0" borderId="1" xfId="0" applyNumberFormat="1" applyFont="1" applyBorder="1" applyAlignment="1" applyProtection="1">
      <alignment horizontal="center" vertical="center"/>
      <protection locked="0"/>
    </xf>
    <xf numFmtId="165" fontId="22" fillId="0" borderId="5" xfId="0" applyNumberFormat="1" applyFont="1" applyBorder="1" applyAlignment="1" applyProtection="1">
      <alignment horizontal="center" vertical="center"/>
      <protection locked="0"/>
    </xf>
    <xf numFmtId="165" fontId="22" fillId="0" borderId="6" xfId="0" applyNumberFormat="1" applyFont="1" applyBorder="1" applyAlignment="1" applyProtection="1">
      <alignment horizontal="center" vertical="center"/>
      <protection locked="0"/>
    </xf>
    <xf numFmtId="165" fontId="22" fillId="0" borderId="2" xfId="0" applyNumberFormat="1" applyFont="1" applyBorder="1" applyAlignment="1" applyProtection="1">
      <alignment horizontal="center" vertical="center"/>
      <protection locked="0"/>
    </xf>
    <xf numFmtId="165" fontId="22" fillId="0" borderId="1" xfId="0" applyNumberFormat="1" applyFont="1" applyBorder="1" applyAlignment="1" applyProtection="1">
      <alignment horizontal="center" vertical="center"/>
      <protection locked="0"/>
    </xf>
    <xf numFmtId="49" fontId="9" fillId="0" borderId="12" xfId="0" applyNumberFormat="1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center"/>
    </xf>
    <xf numFmtId="164" fontId="22" fillId="0" borderId="12" xfId="0" applyNumberFormat="1" applyFont="1" applyBorder="1" applyAlignment="1" applyProtection="1">
      <alignment horizontal="center" vertical="center"/>
      <protection locked="0"/>
    </xf>
    <xf numFmtId="49" fontId="22" fillId="0" borderId="12" xfId="0" applyNumberFormat="1" applyFont="1" applyBorder="1" applyAlignment="1" applyProtection="1">
      <alignment horizontal="center" vertical="center"/>
      <protection locked="0"/>
    </xf>
    <xf numFmtId="0" fontId="22" fillId="0" borderId="12" xfId="0" applyFont="1" applyBorder="1" applyAlignment="1" applyProtection="1">
      <alignment horizontal="center" vertical="center"/>
      <protection locked="0"/>
    </xf>
    <xf numFmtId="1" fontId="22" fillId="0" borderId="0" xfId="0" applyNumberFormat="1" applyFont="1" applyAlignment="1" applyProtection="1">
      <alignment horizontal="center" vertical="center"/>
      <protection locked="0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22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>
      <alignment horizontal="left" vertical="center" wrapText="1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22" fillId="0" borderId="0" xfId="0" applyFont="1" applyAlignment="1" applyProtection="1">
      <alignment horizontal="left" vertical="center"/>
      <protection locked="0"/>
    </xf>
    <xf numFmtId="14" fontId="16" fillId="7" borderId="9" xfId="1" applyNumberFormat="1" applyFont="1" applyFill="1" applyBorder="1" applyAlignment="1" applyProtection="1">
      <alignment horizontal="center" vertical="center"/>
      <protection locked="0"/>
    </xf>
    <xf numFmtId="0" fontId="1" fillId="7" borderId="10" xfId="1" applyFill="1" applyBorder="1" applyAlignment="1">
      <alignment horizontal="center" vertical="center"/>
    </xf>
    <xf numFmtId="0" fontId="12" fillId="0" borderId="5" xfId="1" applyFont="1" applyBorder="1" applyAlignment="1">
      <alignment horizontal="center" vertical="center"/>
    </xf>
    <xf numFmtId="0" fontId="12" fillId="0" borderId="7" xfId="1" applyFont="1" applyBorder="1" applyAlignment="1">
      <alignment horizontal="center" vertical="center"/>
    </xf>
    <xf numFmtId="0" fontId="12" fillId="0" borderId="6" xfId="1" applyFont="1" applyBorder="1" applyAlignment="1">
      <alignment horizontal="center" vertical="center"/>
    </xf>
    <xf numFmtId="0" fontId="12" fillId="0" borderId="2" xfId="1" applyFont="1" applyBorder="1" applyAlignment="1">
      <alignment horizontal="center" vertical="center"/>
    </xf>
    <xf numFmtId="0" fontId="12" fillId="0" borderId="8" xfId="1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/>
    </xf>
    <xf numFmtId="166" fontId="12" fillId="0" borderId="9" xfId="1" applyNumberFormat="1" applyFont="1" applyBorder="1" applyAlignment="1">
      <alignment horizontal="center" vertical="center"/>
    </xf>
    <xf numFmtId="166" fontId="12" fillId="0" borderId="10" xfId="1" applyNumberFormat="1" applyFont="1" applyBorder="1" applyAlignment="1">
      <alignment horizontal="center" vertical="center"/>
    </xf>
    <xf numFmtId="10" fontId="21" fillId="0" borderId="6" xfId="1" applyNumberFormat="1" applyFont="1" applyBorder="1" applyAlignment="1">
      <alignment horizontal="center" vertical="center"/>
    </xf>
    <xf numFmtId="10" fontId="21" fillId="0" borderId="1" xfId="1" applyNumberFormat="1" applyFont="1" applyBorder="1" applyAlignment="1">
      <alignment horizontal="center" vertical="center"/>
    </xf>
    <xf numFmtId="49" fontId="16" fillId="7" borderId="5" xfId="1" applyNumberFormat="1" applyFont="1" applyFill="1" applyBorder="1" applyAlignment="1">
      <alignment horizontal="center" vertical="center"/>
    </xf>
    <xf numFmtId="49" fontId="16" fillId="7" borderId="2" xfId="1" applyNumberFormat="1" applyFont="1" applyFill="1" applyBorder="1" applyAlignment="1">
      <alignment horizontal="center" vertical="center"/>
    </xf>
    <xf numFmtId="0" fontId="16" fillId="7" borderId="5" xfId="1" applyFont="1" applyFill="1" applyBorder="1" applyAlignment="1">
      <alignment horizontal="center" vertical="center"/>
    </xf>
    <xf numFmtId="0" fontId="16" fillId="7" borderId="7" xfId="1" applyFont="1" applyFill="1" applyBorder="1" applyAlignment="1">
      <alignment horizontal="center" vertical="center"/>
    </xf>
    <xf numFmtId="0" fontId="16" fillId="7" borderId="6" xfId="1" applyFont="1" applyFill="1" applyBorder="1" applyAlignment="1">
      <alignment horizontal="center" vertical="center"/>
    </xf>
    <xf numFmtId="0" fontId="16" fillId="7" borderId="2" xfId="1" applyFont="1" applyFill="1" applyBorder="1" applyAlignment="1">
      <alignment horizontal="center" vertical="center"/>
    </xf>
    <xf numFmtId="0" fontId="16" fillId="7" borderId="8" xfId="1" applyFont="1" applyFill="1" applyBorder="1" applyAlignment="1">
      <alignment horizontal="center" vertical="center"/>
    </xf>
    <xf numFmtId="0" fontId="16" fillId="7" borderId="1" xfId="1" applyFont="1" applyFill="1" applyBorder="1" applyAlignment="1">
      <alignment horizontal="center" vertical="center"/>
    </xf>
    <xf numFmtId="166" fontId="12" fillId="0" borderId="9" xfId="0" applyNumberFormat="1" applyFont="1" applyBorder="1" applyAlignment="1">
      <alignment horizontal="center" vertical="center"/>
    </xf>
    <xf numFmtId="166" fontId="12" fillId="0" borderId="10" xfId="0" applyNumberFormat="1" applyFont="1" applyBorder="1" applyAlignment="1">
      <alignment horizontal="center" vertical="center"/>
    </xf>
    <xf numFmtId="10" fontId="12" fillId="0" borderId="6" xfId="1" applyNumberFormat="1" applyFont="1" applyBorder="1" applyAlignment="1">
      <alignment horizontal="center" vertical="center"/>
    </xf>
    <xf numFmtId="10" fontId="12" fillId="0" borderId="1" xfId="1" applyNumberFormat="1" applyFont="1" applyBorder="1" applyAlignment="1">
      <alignment horizontal="center" vertical="center"/>
    </xf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1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6" fillId="0" borderId="5" xfId="1" applyFont="1" applyBorder="1" applyAlignment="1">
      <alignment horizontal="center" vertical="center" wrapText="1"/>
    </xf>
    <xf numFmtId="0" fontId="16" fillId="0" borderId="7" xfId="1" applyFont="1" applyBorder="1" applyAlignment="1">
      <alignment horizontal="center" vertical="center" wrapText="1"/>
    </xf>
    <xf numFmtId="0" fontId="16" fillId="0" borderId="6" xfId="1" applyFont="1" applyBorder="1" applyAlignment="1">
      <alignment horizontal="center" vertical="center" wrapText="1"/>
    </xf>
    <xf numFmtId="0" fontId="16" fillId="0" borderId="3" xfId="1" applyFont="1" applyBorder="1" applyAlignment="1">
      <alignment horizontal="center" vertical="center" wrapText="1"/>
    </xf>
    <xf numFmtId="0" fontId="16" fillId="0" borderId="0" xfId="1" applyFont="1" applyAlignment="1">
      <alignment horizontal="center" vertical="center" wrapText="1"/>
    </xf>
    <xf numFmtId="0" fontId="16" fillId="0" borderId="4" xfId="1" applyFont="1" applyBorder="1" applyAlignment="1">
      <alignment horizontal="center" vertical="center" wrapText="1"/>
    </xf>
    <xf numFmtId="0" fontId="16" fillId="0" borderId="2" xfId="1" applyFont="1" applyBorder="1" applyAlignment="1">
      <alignment horizontal="center" vertical="center" wrapText="1"/>
    </xf>
    <xf numFmtId="0" fontId="16" fillId="0" borderId="8" xfId="1" applyFont="1" applyBorder="1" applyAlignment="1">
      <alignment horizontal="center" vertical="center" wrapText="1"/>
    </xf>
    <xf numFmtId="0" fontId="16" fillId="0" borderId="1" xfId="1" applyFont="1" applyBorder="1" applyAlignment="1">
      <alignment horizontal="center" vertical="center" wrapText="1"/>
    </xf>
    <xf numFmtId="0" fontId="12" fillId="0" borderId="7" xfId="1" applyFont="1" applyBorder="1" applyAlignment="1">
      <alignment horizontal="left"/>
    </xf>
    <xf numFmtId="0" fontId="12" fillId="0" borderId="6" xfId="1" applyFont="1" applyBorder="1" applyAlignment="1">
      <alignment horizontal="left"/>
    </xf>
    <xf numFmtId="49" fontId="16" fillId="5" borderId="9" xfId="1" applyNumberFormat="1" applyFont="1" applyFill="1" applyBorder="1" applyAlignment="1" applyProtection="1">
      <alignment horizontal="center" vertical="center"/>
      <protection locked="0"/>
    </xf>
    <xf numFmtId="49" fontId="16" fillId="5" borderId="10" xfId="1" applyNumberFormat="1" applyFont="1" applyFill="1" applyBorder="1" applyAlignment="1" applyProtection="1">
      <alignment horizontal="center" vertical="center"/>
      <protection locked="0"/>
    </xf>
    <xf numFmtId="49" fontId="16" fillId="6" borderId="9" xfId="1" applyNumberFormat="1" applyFont="1" applyFill="1" applyBorder="1" applyAlignment="1" applyProtection="1">
      <alignment horizontal="center" vertical="center"/>
      <protection locked="0"/>
    </xf>
    <xf numFmtId="49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5" fillId="0" borderId="8" xfId="1" applyFont="1" applyBorder="1" applyAlignment="1">
      <alignment horizontal="left"/>
    </xf>
    <xf numFmtId="0" fontId="15" fillId="0" borderId="1" xfId="1" applyFont="1" applyBorder="1" applyAlignment="1">
      <alignment horizontal="left"/>
    </xf>
    <xf numFmtId="0" fontId="15" fillId="7" borderId="5" xfId="1" applyFont="1" applyFill="1" applyBorder="1" applyAlignment="1">
      <alignment horizontal="center"/>
    </xf>
    <xf numFmtId="0" fontId="15" fillId="7" borderId="7" xfId="1" applyFont="1" applyFill="1" applyBorder="1" applyAlignment="1">
      <alignment horizontal="center"/>
    </xf>
    <xf numFmtId="0" fontId="15" fillId="7" borderId="6" xfId="1" applyFont="1" applyFill="1" applyBorder="1" applyAlignment="1">
      <alignment horizontal="center"/>
    </xf>
    <xf numFmtId="0" fontId="12" fillId="4" borderId="5" xfId="1" applyFont="1" applyFill="1" applyBorder="1" applyAlignment="1">
      <alignment horizontal="left" vertical="center" wrapText="1"/>
    </xf>
    <xf numFmtId="0" fontId="15" fillId="4" borderId="3" xfId="1" applyFont="1" applyFill="1" applyBorder="1" applyAlignment="1">
      <alignment horizontal="left" vertical="center" wrapText="1"/>
    </xf>
    <xf numFmtId="0" fontId="15" fillId="4" borderId="11" xfId="1" applyFont="1" applyFill="1" applyBorder="1" applyAlignment="1">
      <alignment horizontal="left" vertical="center" wrapText="1"/>
    </xf>
    <xf numFmtId="0" fontId="15" fillId="4" borderId="10" xfId="1" applyFont="1" applyFill="1" applyBorder="1" applyAlignment="1">
      <alignment horizontal="left" vertical="center" wrapText="1"/>
    </xf>
    <xf numFmtId="0" fontId="12" fillId="7" borderId="5" xfId="1" applyFont="1" applyFill="1" applyBorder="1" applyAlignment="1">
      <alignment horizontal="center" vertical="center"/>
    </xf>
    <xf numFmtId="0" fontId="12" fillId="7" borderId="6" xfId="1" applyFont="1" applyFill="1" applyBorder="1" applyAlignment="1">
      <alignment horizontal="center" vertical="center"/>
    </xf>
    <xf numFmtId="0" fontId="12" fillId="7" borderId="2" xfId="1" applyFont="1" applyFill="1" applyBorder="1" applyAlignment="1">
      <alignment horizontal="center" vertical="center"/>
    </xf>
    <xf numFmtId="0" fontId="12" fillId="7" borderId="1" xfId="1" applyFont="1" applyFill="1" applyBorder="1" applyAlignment="1">
      <alignment horizontal="center" vertical="center"/>
    </xf>
    <xf numFmtId="0" fontId="12" fillId="0" borderId="9" xfId="1" applyFont="1" applyBorder="1" applyAlignment="1">
      <alignment horizontal="center" vertical="center"/>
    </xf>
    <xf numFmtId="0" fontId="12" fillId="0" borderId="10" xfId="1" applyFont="1" applyBorder="1" applyAlignment="1">
      <alignment horizontal="center" vertical="center"/>
    </xf>
    <xf numFmtId="49" fontId="12" fillId="0" borderId="9" xfId="1" applyNumberFormat="1" applyFont="1" applyBorder="1" applyAlignment="1" applyProtection="1">
      <alignment horizontal="center" vertical="center"/>
      <protection locked="0"/>
    </xf>
    <xf numFmtId="49" fontId="12" fillId="0" borderId="10" xfId="1" applyNumberFormat="1" applyFont="1" applyBorder="1" applyAlignment="1" applyProtection="1">
      <alignment horizontal="center" vertical="center"/>
      <protection locked="0"/>
    </xf>
    <xf numFmtId="164" fontId="16" fillId="5" borderId="9" xfId="1" applyNumberFormat="1" applyFont="1" applyFill="1" applyBorder="1" applyAlignment="1" applyProtection="1">
      <alignment horizontal="center" vertical="center"/>
      <protection locked="0"/>
    </xf>
    <xf numFmtId="164" fontId="16" fillId="5" borderId="10" xfId="1" applyNumberFormat="1" applyFont="1" applyFill="1" applyBorder="1" applyAlignment="1" applyProtection="1">
      <alignment horizontal="center" vertical="center"/>
      <protection locked="0"/>
    </xf>
    <xf numFmtId="164" fontId="16" fillId="6" borderId="9" xfId="1" applyNumberFormat="1" applyFont="1" applyFill="1" applyBorder="1" applyAlignment="1" applyProtection="1">
      <alignment horizontal="center" vertical="center"/>
      <protection locked="0"/>
    </xf>
    <xf numFmtId="164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2" fillId="0" borderId="5" xfId="1" applyFont="1" applyBorder="1" applyAlignment="1">
      <alignment horizontal="left"/>
    </xf>
    <xf numFmtId="0" fontId="15" fillId="0" borderId="2" xfId="1" applyFont="1" applyBorder="1" applyAlignment="1">
      <alignment horizontal="left"/>
    </xf>
    <xf numFmtId="49" fontId="17" fillId="8" borderId="9" xfId="1" applyNumberFormat="1" applyFont="1" applyFill="1" applyBorder="1" applyAlignment="1" applyProtection="1">
      <alignment horizontal="center" vertical="center"/>
      <protection locked="0"/>
    </xf>
    <xf numFmtId="49" fontId="18" fillId="8" borderId="10" xfId="1" applyNumberFormat="1" applyFont="1" applyFill="1" applyBorder="1" applyAlignment="1">
      <alignment horizontal="center" vertical="center"/>
    </xf>
    <xf numFmtId="0" fontId="17" fillId="8" borderId="5" xfId="1" applyFont="1" applyFill="1" applyBorder="1" applyAlignment="1" applyProtection="1">
      <alignment horizontal="center" vertical="center"/>
      <protection locked="0"/>
    </xf>
    <xf numFmtId="0" fontId="18" fillId="8" borderId="6" xfId="1" applyFont="1" applyFill="1" applyBorder="1" applyAlignment="1">
      <alignment horizontal="center" vertical="center"/>
    </xf>
    <xf numFmtId="0" fontId="18" fillId="8" borderId="2" xfId="1" applyFont="1" applyFill="1" applyBorder="1" applyAlignment="1">
      <alignment horizontal="center" vertical="center"/>
    </xf>
    <xf numFmtId="0" fontId="18" fillId="8" borderId="1" xfId="1" applyFont="1" applyFill="1" applyBorder="1" applyAlignment="1">
      <alignment horizontal="center" vertical="center"/>
    </xf>
    <xf numFmtId="0" fontId="12" fillId="0" borderId="3" xfId="1" applyFont="1" applyBorder="1" applyAlignment="1">
      <alignment horizontal="left"/>
    </xf>
    <xf numFmtId="0" fontId="12" fillId="0" borderId="4" xfId="1" applyFont="1" applyBorder="1" applyAlignment="1">
      <alignment horizontal="left"/>
    </xf>
    <xf numFmtId="49" fontId="16" fillId="5" borderId="11" xfId="1" applyNumberFormat="1" applyFont="1" applyFill="1" applyBorder="1" applyAlignment="1" applyProtection="1">
      <alignment horizontal="center" vertical="center"/>
      <protection locked="0"/>
    </xf>
    <xf numFmtId="0" fontId="16" fillId="6" borderId="11" xfId="1" applyFont="1" applyFill="1" applyBorder="1" applyAlignment="1" applyProtection="1">
      <alignment horizontal="center" vertical="center"/>
      <protection locked="0"/>
    </xf>
    <xf numFmtId="0" fontId="16" fillId="6" borderId="10" xfId="1" applyFont="1" applyFill="1" applyBorder="1" applyAlignment="1" applyProtection="1">
      <alignment horizontal="center" vertical="center"/>
      <protection locked="0"/>
    </xf>
    <xf numFmtId="0" fontId="17" fillId="8" borderId="6" xfId="1" applyFont="1" applyFill="1" applyBorder="1" applyAlignment="1" applyProtection="1">
      <alignment horizontal="center" vertical="center"/>
      <protection locked="0"/>
    </xf>
    <xf numFmtId="0" fontId="17" fillId="8" borderId="2" xfId="1" applyFont="1" applyFill="1" applyBorder="1" applyAlignment="1" applyProtection="1">
      <alignment horizontal="center" vertical="center"/>
      <protection locked="0"/>
    </xf>
    <xf numFmtId="0" fontId="17" fillId="8" borderId="1" xfId="1" applyFont="1" applyFill="1" applyBorder="1" applyAlignment="1" applyProtection="1">
      <alignment horizontal="center" vertical="center"/>
      <protection locked="0"/>
    </xf>
    <xf numFmtId="0" fontId="17" fillId="8" borderId="9" xfId="1" applyFont="1" applyFill="1" applyBorder="1" applyAlignment="1" applyProtection="1">
      <alignment horizontal="center" vertical="center"/>
      <protection locked="0"/>
    </xf>
    <xf numFmtId="0" fontId="17" fillId="8" borderId="10" xfId="1" applyFont="1" applyFill="1" applyBorder="1" applyAlignment="1" applyProtection="1">
      <alignment horizontal="center" vertical="center"/>
      <protection locked="0"/>
    </xf>
    <xf numFmtId="0" fontId="5" fillId="0" borderId="0" xfId="1" applyFont="1" applyAlignment="1">
      <alignment horizontal="center"/>
    </xf>
    <xf numFmtId="0" fontId="16" fillId="7" borderId="12" xfId="1" applyFont="1" applyFill="1" applyBorder="1" applyAlignment="1">
      <alignment horizontal="center" vertical="center" wrapText="1"/>
    </xf>
    <xf numFmtId="0" fontId="1" fillId="7" borderId="12" xfId="1" applyFill="1" applyBorder="1" applyAlignment="1">
      <alignment horizontal="center" vertical="center"/>
    </xf>
    <xf numFmtId="0" fontId="15" fillId="7" borderId="12" xfId="1" applyFont="1" applyFill="1" applyBorder="1" applyAlignment="1">
      <alignment horizontal="center" vertical="center" wrapText="1"/>
    </xf>
    <xf numFmtId="0" fontId="1" fillId="7" borderId="12" xfId="1" applyFill="1" applyBorder="1" applyAlignment="1">
      <alignment horizontal="center" vertical="center" wrapText="1"/>
    </xf>
    <xf numFmtId="0" fontId="18" fillId="0" borderId="0" xfId="1" applyFont="1" applyAlignment="1">
      <alignment horizontal="center"/>
    </xf>
    <xf numFmtId="0" fontId="16" fillId="7" borderId="9" xfId="1" applyFont="1" applyFill="1" applyBorder="1" applyAlignment="1">
      <alignment horizontal="center" vertical="center" wrapText="1"/>
    </xf>
    <xf numFmtId="0" fontId="9" fillId="7" borderId="10" xfId="1" applyFont="1" applyFill="1" applyBorder="1" applyAlignment="1">
      <alignment horizontal="center" vertical="center" wrapText="1"/>
    </xf>
    <xf numFmtId="49" fontId="16" fillId="7" borderId="9" xfId="1" applyNumberFormat="1" applyFont="1" applyFill="1" applyBorder="1" applyAlignment="1">
      <alignment horizontal="center" vertical="center" wrapText="1"/>
    </xf>
    <xf numFmtId="0" fontId="1" fillId="7" borderId="9" xfId="1" applyFill="1" applyBorder="1" applyAlignment="1">
      <alignment horizontal="center" vertical="center" wrapText="1"/>
    </xf>
    <xf numFmtId="0" fontId="1" fillId="7" borderId="10" xfId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checked="Checked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checked="Checked" lockText="1" noThreeD="1"/>
</file>

<file path=xl/ctrlProps/ctrlProp26.xml><?xml version="1.0" encoding="utf-8"?>
<formControlPr xmlns="http://schemas.microsoft.com/office/spreadsheetml/2009/9/main" objectType="CheckBox" checked="Checked" lockText="1" noThreeD="1"/>
</file>

<file path=xl/ctrlProps/ctrlProp27.xml><?xml version="1.0" encoding="utf-8"?>
<formControlPr xmlns="http://schemas.microsoft.com/office/spreadsheetml/2009/9/main" objectType="CheckBox" checked="Checked" lockText="1" noThreeD="1"/>
</file>

<file path=xl/ctrlProps/ctrlProp28.xml><?xml version="1.0" encoding="utf-8"?>
<formControlPr xmlns="http://schemas.microsoft.com/office/spreadsheetml/2009/9/main" objectType="CheckBox" checked="Checked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CheckBox" checked="Checked" lockText="1" noThreeD="1"/>
</file>

<file path=xl/ctrlProps/ctrlProp34.xml><?xml version="1.0" encoding="utf-8"?>
<formControlPr xmlns="http://schemas.microsoft.com/office/spreadsheetml/2009/9/main" objectType="CheckBox" checked="Checked" lockText="1" noThreeD="1"/>
</file>

<file path=xl/ctrlProps/ctrlProp35.xml><?xml version="1.0" encoding="utf-8"?>
<formControlPr xmlns="http://schemas.microsoft.com/office/spreadsheetml/2009/9/main" objectType="CheckBox" checked="Checked" lockText="1" noThreeD="1"/>
</file>

<file path=xl/ctrlProps/ctrlProp36.xml><?xml version="1.0" encoding="utf-8"?>
<formControlPr xmlns="http://schemas.microsoft.com/office/spreadsheetml/2009/9/main" objectType="CheckBox" checked="Checked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checked="Checked" lockText="1" noThreeD="1"/>
</file>

<file path=xl/ctrlProps/ctrlProp41.xml><?xml version="1.0" encoding="utf-8"?>
<formControlPr xmlns="http://schemas.microsoft.com/office/spreadsheetml/2009/9/main" objectType="CheckBox" checked="Checked" lockText="1" noThreeD="1"/>
</file>

<file path=xl/ctrlProps/ctrlProp42.xml><?xml version="1.0" encoding="utf-8"?>
<formControlPr xmlns="http://schemas.microsoft.com/office/spreadsheetml/2009/9/main" objectType="CheckBox" checked="Checked" lockText="1" noThreeD="1"/>
</file>

<file path=xl/ctrlProps/ctrlProp43.xml><?xml version="1.0" encoding="utf-8"?>
<formControlPr xmlns="http://schemas.microsoft.com/office/spreadsheetml/2009/9/main" objectType="CheckBox" checked="Checked" lockText="1" noThreeD="1"/>
</file>

<file path=xl/ctrlProps/ctrlProp44.xml><?xml version="1.0" encoding="utf-8"?>
<formControlPr xmlns="http://schemas.microsoft.com/office/spreadsheetml/2009/9/main" objectType="CheckBox" checked="Checked" lockText="1" noThreeD="1"/>
</file>

<file path=xl/ctrlProps/ctrlProp45.xml><?xml version="1.0" encoding="utf-8"?>
<formControlPr xmlns="http://schemas.microsoft.com/office/spreadsheetml/2009/9/main" objectType="CheckBox" checked="Checked" lockText="1" noThreeD="1"/>
</file>

<file path=xl/ctrlProps/ctrlProp46.xml><?xml version="1.0" encoding="utf-8"?>
<formControlPr xmlns="http://schemas.microsoft.com/office/spreadsheetml/2009/9/main" objectType="CheckBox" checked="Checked" lockText="1" noThreeD="1"/>
</file>

<file path=xl/ctrlProps/ctrlProp47.xml><?xml version="1.0" encoding="utf-8"?>
<formControlPr xmlns="http://schemas.microsoft.com/office/spreadsheetml/2009/9/main" objectType="CheckBox" checked="Checked" lockText="1" noThreeD="1"/>
</file>

<file path=xl/ctrlProps/ctrlProp48.xml><?xml version="1.0" encoding="utf-8"?>
<formControlPr xmlns="http://schemas.microsoft.com/office/spreadsheetml/2009/9/main" objectType="CheckBox" checked="Checked" lockText="1" noThreeD="1"/>
</file>

<file path=xl/ctrlProps/ctrlProp49.xml><?xml version="1.0" encoding="utf-8"?>
<formControlPr xmlns="http://schemas.microsoft.com/office/spreadsheetml/2009/9/main" objectType="CheckBox" checked="Checked" lockText="1" noThreeD="1"/>
</file>

<file path=xl/ctrlProps/ctrlProp50.xml><?xml version="1.0" encoding="utf-8"?>
<formControlPr xmlns="http://schemas.microsoft.com/office/spreadsheetml/2009/9/main" objectType="CheckBox" checked="Checked" lockText="1" noThreeD="1"/>
</file>

<file path=xl/ctrlProps/ctrlProp51.xml><?xml version="1.0" encoding="utf-8"?>
<formControlPr xmlns="http://schemas.microsoft.com/office/spreadsheetml/2009/9/main" objectType="CheckBox" checked="Checked" lockText="1" noThreeD="1"/>
</file>

<file path=xl/ctrlProps/ctrlProp52.xml><?xml version="1.0" encoding="utf-8"?>
<formControlPr xmlns="http://schemas.microsoft.com/office/spreadsheetml/2009/9/main" objectType="CheckBox" checked="Checked" lockText="1" noThreeD="1"/>
</file>

<file path=xl/ctrlProps/ctrlProp53.xml><?xml version="1.0" encoding="utf-8"?>
<formControlPr xmlns="http://schemas.microsoft.com/office/spreadsheetml/2009/9/main" objectType="CheckBox" checked="Checked" lockText="1" noThreeD="1"/>
</file>

<file path=xl/ctrlProps/ctrlProp54.xml><?xml version="1.0" encoding="utf-8"?>
<formControlPr xmlns="http://schemas.microsoft.com/office/spreadsheetml/2009/9/main" objectType="CheckBox" checked="Checked" lockText="1" noThreeD="1"/>
</file>

<file path=xl/ctrlProps/ctrlProp55.xml><?xml version="1.0" encoding="utf-8"?>
<formControlPr xmlns="http://schemas.microsoft.com/office/spreadsheetml/2009/9/main" objectType="CheckBox" checked="Checked" lockText="1" noThreeD="1"/>
</file>

<file path=xl/ctrlProps/ctrlProp56.xml><?xml version="1.0" encoding="utf-8"?>
<formControlPr xmlns="http://schemas.microsoft.com/office/spreadsheetml/2009/9/main" objectType="CheckBox" checked="Checked" lockText="1" noThreeD="1"/>
</file>

<file path=xl/ctrlProps/ctrlProp57.xml><?xml version="1.0" encoding="utf-8"?>
<formControlPr xmlns="http://schemas.microsoft.com/office/spreadsheetml/2009/9/main" objectType="CheckBox" checked="Checked" lockText="1" noThreeD="1"/>
</file>

<file path=xl/ctrlProps/ctrlProp58.xml><?xml version="1.0" encoding="utf-8"?>
<formControlPr xmlns="http://schemas.microsoft.com/office/spreadsheetml/2009/9/main" objectType="CheckBox" checked="Checked" lockText="1" noThreeD="1"/>
</file>

<file path=xl/ctrlProps/ctrlProp59.xml><?xml version="1.0" encoding="utf-8"?>
<formControlPr xmlns="http://schemas.microsoft.com/office/spreadsheetml/2009/9/main" objectType="CheckBox" checked="Checked" lockText="1" noThreeD="1"/>
</file>

<file path=xl/ctrlProps/ctrlProp60.xml><?xml version="1.0" encoding="utf-8"?>
<formControlPr xmlns="http://schemas.microsoft.com/office/spreadsheetml/2009/9/main" objectType="CheckBox" checked="Checked" lockText="1" noThreeD="1"/>
</file>

<file path=xl/ctrlProps/ctrlProp61.xml><?xml version="1.0" encoding="utf-8"?>
<formControlPr xmlns="http://schemas.microsoft.com/office/spreadsheetml/2009/9/main" objectType="CheckBox" checked="Checked" lockText="1" noThreeD="1"/>
</file>

<file path=xl/ctrlProps/ctrlProp62.xml><?xml version="1.0" encoding="utf-8"?>
<formControlPr xmlns="http://schemas.microsoft.com/office/spreadsheetml/2009/9/main" objectType="CheckBox" checked="Checked" lockText="1" noThreeD="1"/>
</file>

<file path=xl/ctrlProps/ctrlProp63.xml><?xml version="1.0" encoding="utf-8"?>
<formControlPr xmlns="http://schemas.microsoft.com/office/spreadsheetml/2009/9/main" objectType="CheckBox" checked="Checked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checked="Checked" lockText="1" noThreeD="1"/>
</file>

<file path=xl/ctrlProps/ctrlProp66.xml><?xml version="1.0" encoding="utf-8"?>
<formControlPr xmlns="http://schemas.microsoft.com/office/spreadsheetml/2009/9/main" objectType="CheckBox" checked="Checked" lockText="1" noThreeD="1"/>
</file>

<file path=xl/ctrlProps/ctrlProp67.xml><?xml version="1.0" encoding="utf-8"?>
<formControlPr xmlns="http://schemas.microsoft.com/office/spreadsheetml/2009/9/main" objectType="CheckBox" checked="Checked" lockText="1" noThreeD="1"/>
</file>

<file path=xl/ctrlProps/ctrlProp68.xml><?xml version="1.0" encoding="utf-8"?>
<formControlPr xmlns="http://schemas.microsoft.com/office/spreadsheetml/2009/9/main" objectType="CheckBox" checked="Checked" lockText="1" noThreeD="1"/>
</file>

<file path=xl/ctrlProps/ctrlProp69.xml><?xml version="1.0" encoding="utf-8"?>
<formControlPr xmlns="http://schemas.microsoft.com/office/spreadsheetml/2009/9/main" objectType="CheckBox" checked="Checked" lockText="1" noThreeD="1"/>
</file>

<file path=xl/ctrlProps/ctrlProp70.xml><?xml version="1.0" encoding="utf-8"?>
<formControlPr xmlns="http://schemas.microsoft.com/office/spreadsheetml/2009/9/main" objectType="CheckBox" checked="Checked" lockText="1" noThreeD="1"/>
</file>

<file path=xl/ctrlProps/ctrlProp71.xml><?xml version="1.0" encoding="utf-8"?>
<formControlPr xmlns="http://schemas.microsoft.com/office/spreadsheetml/2009/9/main" objectType="CheckBox" checked="Checked" lockText="1" noThreeD="1"/>
</file>

<file path=xl/ctrlProps/ctrlProp72.xml><?xml version="1.0" encoding="utf-8"?>
<formControlPr xmlns="http://schemas.microsoft.com/office/spreadsheetml/2009/9/main" objectType="CheckBox" checked="Checked" lockText="1" noThreeD="1"/>
</file>

<file path=xl/ctrlProps/ctrlProp73.xml><?xml version="1.0" encoding="utf-8"?>
<formControlPr xmlns="http://schemas.microsoft.com/office/spreadsheetml/2009/9/main" objectType="CheckBox" checked="Checked" lockText="1" noThreeD="1"/>
</file>

<file path=xl/ctrlProps/ctrlProp74.xml><?xml version="1.0" encoding="utf-8"?>
<formControlPr xmlns="http://schemas.microsoft.com/office/spreadsheetml/2009/9/main" objectType="CheckBox" checked="Checked" lockText="1" noThreeD="1"/>
</file>

<file path=xl/ctrlProps/ctrlProp75.xml><?xml version="1.0" encoding="utf-8"?>
<formControlPr xmlns="http://schemas.microsoft.com/office/spreadsheetml/2009/9/main" objectType="CheckBox" checked="Checked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checked="Checked" lockText="1" noThreeD="1"/>
</file>

<file path=xl/ctrlProps/ctrlProp78.xml><?xml version="1.0" encoding="utf-8"?>
<formControlPr xmlns="http://schemas.microsoft.com/office/spreadsheetml/2009/9/main" objectType="CheckBox" checked="Checked" lockText="1" noThreeD="1"/>
</file>

<file path=xl/ctrlProps/ctrlProp79.xml><?xml version="1.0" encoding="utf-8"?>
<formControlPr xmlns="http://schemas.microsoft.com/office/spreadsheetml/2009/9/main" objectType="CheckBox" checked="Checked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checked="Checked" lockText="1" noThreeD="1"/>
</file>

<file path=xl/ctrlProps/ctrlProp83.xml><?xml version="1.0" encoding="utf-8"?>
<formControlPr xmlns="http://schemas.microsoft.com/office/spreadsheetml/2009/9/main" objectType="CheckBox" checked="Checked" lockText="1" noThreeD="1"/>
</file>

<file path=xl/ctrlProps/ctrlProp84.xml><?xml version="1.0" encoding="utf-8"?>
<formControlPr xmlns="http://schemas.microsoft.com/office/spreadsheetml/2009/9/main" objectType="CheckBox" checked="Checked" lockText="1" noThreeD="1"/>
</file>

<file path=xl/ctrlProps/ctrlProp85.xml><?xml version="1.0" encoding="utf-8"?>
<formControlPr xmlns="http://schemas.microsoft.com/office/spreadsheetml/2009/9/main" objectType="CheckBox" checked="Checked" lockText="1" noThreeD="1"/>
</file>

<file path=xl/ctrlProps/ctrlProp86.xml><?xml version="1.0" encoding="utf-8"?>
<formControlPr xmlns="http://schemas.microsoft.com/office/spreadsheetml/2009/9/main" objectType="CheckBox" checked="Checked" lockText="1" noThreeD="1"/>
</file>

<file path=xl/ctrlProps/ctrlProp87.xml><?xml version="1.0" encoding="utf-8"?>
<formControlPr xmlns="http://schemas.microsoft.com/office/spreadsheetml/2009/9/main" objectType="CheckBox" checked="Checked" lockText="1" noThreeD="1"/>
</file>

<file path=xl/ctrlProps/ctrlProp88.xml><?xml version="1.0" encoding="utf-8"?>
<formControlPr xmlns="http://schemas.microsoft.com/office/spreadsheetml/2009/9/main" objectType="CheckBox" checked="Checked" lockText="1" noThreeD="1"/>
</file>

<file path=xl/ctrlProps/ctrlProp89.xml><?xml version="1.0" encoding="utf-8"?>
<formControlPr xmlns="http://schemas.microsoft.com/office/spreadsheetml/2009/9/main" objectType="CheckBox" checked="Checked" lockText="1" noThreeD="1"/>
</file>

<file path=xl/ctrlProps/ctrlProp90.xml><?xml version="1.0" encoding="utf-8"?>
<formControlPr xmlns="http://schemas.microsoft.com/office/spreadsheetml/2009/9/main" objectType="CheckBox" checked="Checked" lockText="1" noThreeD="1"/>
</file>

<file path=xl/ctrlProps/ctrlProp91.xml><?xml version="1.0" encoding="utf-8"?>
<formControlPr xmlns="http://schemas.microsoft.com/office/spreadsheetml/2009/9/main" objectType="CheckBox" checked="Checked" lockText="1" noThreeD="1"/>
</file>

<file path=xl/ctrlProps/ctrlProp92.xml><?xml version="1.0" encoding="utf-8"?>
<formControlPr xmlns="http://schemas.microsoft.com/office/spreadsheetml/2009/9/main" objectType="CheckBox" checked="Checked" lockText="1" noThreeD="1"/>
</file>

<file path=xl/ctrlProps/ctrlProp93.xml><?xml version="1.0" encoding="utf-8"?>
<formControlPr xmlns="http://schemas.microsoft.com/office/spreadsheetml/2009/9/main" objectType="CheckBox" checked="Checked" lockText="1" noThreeD="1"/>
</file>

<file path=xl/ctrlProps/ctrlProp94.xml><?xml version="1.0" encoding="utf-8"?>
<formControlPr xmlns="http://schemas.microsoft.com/office/spreadsheetml/2009/9/main" objectType="CheckBox" checked="Checked" lockText="1" noThreeD="1"/>
</file>

<file path=xl/ctrlProps/ctrlProp95.xml><?xml version="1.0" encoding="utf-8"?>
<formControlPr xmlns="http://schemas.microsoft.com/office/spreadsheetml/2009/9/main" objectType="CheckBox" checked="Checked" lockText="1" noThreeD="1"/>
</file>

<file path=xl/ctrlProps/ctrlProp96.xml><?xml version="1.0" encoding="utf-8"?>
<formControlPr xmlns="http://schemas.microsoft.com/office/spreadsheetml/2009/9/main" objectType="CheckBox" checked="Checked" lockText="1" noThreeD="1"/>
</file>

<file path=xl/ctrlProps/ctrlProp97.xml><?xml version="1.0" encoding="utf-8"?>
<formControlPr xmlns="http://schemas.microsoft.com/office/spreadsheetml/2009/9/main" objectType="CheckBox" checked="Checked" lockText="1" noThreeD="1"/>
</file>

<file path=xl/ctrlProps/ctrlProp98.xml><?xml version="1.0" encoding="utf-8"?>
<formControlPr xmlns="http://schemas.microsoft.com/office/spreadsheetml/2009/9/main" objectType="CheckBox" checked="Checked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checked="Checked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checked="Checked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checked="Checked" lockText="1" noThreeD="1"/>
</file>

<file path=xl/ctrlProps/ctrlProp105.xml><?xml version="1.0" encoding="utf-8"?>
<formControlPr xmlns="http://schemas.microsoft.com/office/spreadsheetml/2009/9/main" objectType="CheckBox" checked="Checked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checked="Checked" lockText="1" noThreeD="1"/>
</file>

<file path=xl/ctrlProps/ctrlProp108.xml><?xml version="1.0" encoding="utf-8"?>
<formControlPr xmlns="http://schemas.microsoft.com/office/spreadsheetml/2009/9/main" objectType="CheckBox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checked="Checked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114300</xdr:rowOff>
    </xdr:from>
    <xdr:to>
      <xdr:col>5</xdr:col>
      <xdr:colOff>181213</xdr:colOff>
      <xdr:row>3</xdr:row>
      <xdr:rowOff>145583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4300"/>
          <a:ext cx="2743438" cy="469433"/>
        </a:xfrm>
        <a:prstGeom prst="rect">
          <a:avLst/>
        </a:prstGeom>
      </xdr:spPr>
    </xdr:pic>
    <xdr:clientData/>
  </xdr:twoCellAnchor>
  <xdr:twoCellAnchor editAs="oneCell">
    <xdr:from>
      <xdr:col>8</xdr:col>
      <xdr:colOff>184785</xdr:colOff>
      <xdr:row>56</xdr:row>
      <xdr:rowOff>120015</xdr:rowOff>
    </xdr:from>
    <xdr:to>
      <xdr:col>11</xdr:col>
      <xdr:colOff>895240</xdr:colOff>
      <xdr:row>67</xdr:row>
      <xdr:rowOff>132134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970145" y="9119235"/>
          <a:ext cx="3316495" cy="1665659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2</xdr:col>
      <xdr:colOff>1857375</xdr:colOff>
      <xdr:row>4</xdr:row>
      <xdr:rowOff>152400</xdr:rowOff>
    </xdr:to>
    <xdr:pic>
      <xdr:nvPicPr>
        <xdr:cNvPr id="2164" name="Picture 1">
          <a:extLst>
            <a:ext uri="{FF2B5EF4-FFF2-40B4-BE49-F238E27FC236}">
              <a16:creationId xmlns:a16="http://schemas.microsoft.com/office/drawing/2014/main" id="{00000000-0008-0000-0100-00007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590550"/>
          <a:ext cx="4572000" cy="742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9</xdr:row>
          <xdr:rowOff>30480</xdr:rowOff>
        </xdr:from>
        <xdr:to>
          <xdr:col>2</xdr:col>
          <xdr:colOff>2042160</xdr:colOff>
          <xdr:row>10</xdr:row>
          <xdr:rowOff>7620</xdr:rowOff>
        </xdr:to>
        <xdr:sp macro="" textlink="">
          <xdr:nvSpPr>
            <xdr:cNvPr id="2049" name="Control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11</xdr:row>
          <xdr:rowOff>30480</xdr:rowOff>
        </xdr:from>
        <xdr:to>
          <xdr:col>2</xdr:col>
          <xdr:colOff>2042160</xdr:colOff>
          <xdr:row>12</xdr:row>
          <xdr:rowOff>7620</xdr:rowOff>
        </xdr:to>
        <xdr:sp macro="" textlink="">
          <xdr:nvSpPr>
            <xdr:cNvPr id="2050" name="Control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13</xdr:row>
          <xdr:rowOff>30480</xdr:rowOff>
        </xdr:from>
        <xdr:to>
          <xdr:col>2</xdr:col>
          <xdr:colOff>2042160</xdr:colOff>
          <xdr:row>14</xdr:row>
          <xdr:rowOff>7620</xdr:rowOff>
        </xdr:to>
        <xdr:sp macro="" textlink="">
          <xdr:nvSpPr>
            <xdr:cNvPr id="2051" name="Control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15</xdr:row>
          <xdr:rowOff>30480</xdr:rowOff>
        </xdr:from>
        <xdr:to>
          <xdr:col>2</xdr:col>
          <xdr:colOff>2042160</xdr:colOff>
          <xdr:row>16</xdr:row>
          <xdr:rowOff>7620</xdr:rowOff>
        </xdr:to>
        <xdr:sp macro="" textlink="">
          <xdr:nvSpPr>
            <xdr:cNvPr id="2052" name="Control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17</xdr:row>
          <xdr:rowOff>30480</xdr:rowOff>
        </xdr:from>
        <xdr:to>
          <xdr:col>2</xdr:col>
          <xdr:colOff>2042160</xdr:colOff>
          <xdr:row>18</xdr:row>
          <xdr:rowOff>7620</xdr:rowOff>
        </xdr:to>
        <xdr:sp macro="" textlink="">
          <xdr:nvSpPr>
            <xdr:cNvPr id="2053" name="Control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1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19</xdr:row>
          <xdr:rowOff>30480</xdr:rowOff>
        </xdr:from>
        <xdr:to>
          <xdr:col>2</xdr:col>
          <xdr:colOff>2042160</xdr:colOff>
          <xdr:row>20</xdr:row>
          <xdr:rowOff>7620</xdr:rowOff>
        </xdr:to>
        <xdr:sp macro="" textlink="">
          <xdr:nvSpPr>
            <xdr:cNvPr id="2054" name="Control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1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21</xdr:row>
          <xdr:rowOff>30480</xdr:rowOff>
        </xdr:from>
        <xdr:to>
          <xdr:col>2</xdr:col>
          <xdr:colOff>2042160</xdr:colOff>
          <xdr:row>22</xdr:row>
          <xdr:rowOff>7620</xdr:rowOff>
        </xdr:to>
        <xdr:sp macro="" textlink="">
          <xdr:nvSpPr>
            <xdr:cNvPr id="2055" name="Control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1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23</xdr:row>
          <xdr:rowOff>30480</xdr:rowOff>
        </xdr:from>
        <xdr:to>
          <xdr:col>2</xdr:col>
          <xdr:colOff>2042160</xdr:colOff>
          <xdr:row>24</xdr:row>
          <xdr:rowOff>7620</xdr:rowOff>
        </xdr:to>
        <xdr:sp macro="" textlink="">
          <xdr:nvSpPr>
            <xdr:cNvPr id="2056" name="Control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1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7" name="Control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1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8" name="Control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1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059" name="Control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1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29</xdr:row>
          <xdr:rowOff>30480</xdr:rowOff>
        </xdr:from>
        <xdr:to>
          <xdr:col>2</xdr:col>
          <xdr:colOff>2042160</xdr:colOff>
          <xdr:row>30</xdr:row>
          <xdr:rowOff>7620</xdr:rowOff>
        </xdr:to>
        <xdr:sp macro="" textlink="">
          <xdr:nvSpPr>
            <xdr:cNvPr id="2060" name="Control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1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31</xdr:row>
          <xdr:rowOff>30480</xdr:rowOff>
        </xdr:from>
        <xdr:to>
          <xdr:col>2</xdr:col>
          <xdr:colOff>2042160</xdr:colOff>
          <xdr:row>32</xdr:row>
          <xdr:rowOff>7620</xdr:rowOff>
        </xdr:to>
        <xdr:sp macro="" textlink="">
          <xdr:nvSpPr>
            <xdr:cNvPr id="2061" name="Control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1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33</xdr:row>
          <xdr:rowOff>30480</xdr:rowOff>
        </xdr:from>
        <xdr:to>
          <xdr:col>2</xdr:col>
          <xdr:colOff>2042160</xdr:colOff>
          <xdr:row>34</xdr:row>
          <xdr:rowOff>7620</xdr:rowOff>
        </xdr:to>
        <xdr:sp macro="" textlink="">
          <xdr:nvSpPr>
            <xdr:cNvPr id="2062" name="Control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1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35</xdr:row>
          <xdr:rowOff>30480</xdr:rowOff>
        </xdr:from>
        <xdr:to>
          <xdr:col>2</xdr:col>
          <xdr:colOff>2042160</xdr:colOff>
          <xdr:row>36</xdr:row>
          <xdr:rowOff>7620</xdr:rowOff>
        </xdr:to>
        <xdr:sp macro="" textlink="">
          <xdr:nvSpPr>
            <xdr:cNvPr id="2063" name="Control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1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37</xdr:row>
          <xdr:rowOff>30480</xdr:rowOff>
        </xdr:from>
        <xdr:to>
          <xdr:col>2</xdr:col>
          <xdr:colOff>2042160</xdr:colOff>
          <xdr:row>38</xdr:row>
          <xdr:rowOff>7620</xdr:rowOff>
        </xdr:to>
        <xdr:sp macro="" textlink="">
          <xdr:nvSpPr>
            <xdr:cNvPr id="2064" name="Control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1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5" name="Control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1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6" name="Control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1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7" name="Control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1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41</xdr:row>
          <xdr:rowOff>30480</xdr:rowOff>
        </xdr:from>
        <xdr:to>
          <xdr:col>2</xdr:col>
          <xdr:colOff>2042160</xdr:colOff>
          <xdr:row>42</xdr:row>
          <xdr:rowOff>7620</xdr:rowOff>
        </xdr:to>
        <xdr:sp macro="" textlink="">
          <xdr:nvSpPr>
            <xdr:cNvPr id="2068" name="Control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1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43</xdr:row>
          <xdr:rowOff>30480</xdr:rowOff>
        </xdr:from>
        <xdr:to>
          <xdr:col>2</xdr:col>
          <xdr:colOff>2042160</xdr:colOff>
          <xdr:row>44</xdr:row>
          <xdr:rowOff>7620</xdr:rowOff>
        </xdr:to>
        <xdr:sp macro="" textlink="">
          <xdr:nvSpPr>
            <xdr:cNvPr id="2069" name="Control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1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45</xdr:row>
          <xdr:rowOff>30480</xdr:rowOff>
        </xdr:from>
        <xdr:to>
          <xdr:col>3</xdr:col>
          <xdr:colOff>7620</xdr:colOff>
          <xdr:row>46</xdr:row>
          <xdr:rowOff>7620</xdr:rowOff>
        </xdr:to>
        <xdr:sp macro="" textlink="">
          <xdr:nvSpPr>
            <xdr:cNvPr id="2070" name="Control 22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1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47</xdr:row>
          <xdr:rowOff>30480</xdr:rowOff>
        </xdr:from>
        <xdr:to>
          <xdr:col>2</xdr:col>
          <xdr:colOff>2042160</xdr:colOff>
          <xdr:row>48</xdr:row>
          <xdr:rowOff>7620</xdr:rowOff>
        </xdr:to>
        <xdr:sp macro="" textlink="">
          <xdr:nvSpPr>
            <xdr:cNvPr id="2071" name="Control 23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1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49</xdr:row>
          <xdr:rowOff>30480</xdr:rowOff>
        </xdr:from>
        <xdr:to>
          <xdr:col>2</xdr:col>
          <xdr:colOff>2042160</xdr:colOff>
          <xdr:row>50</xdr:row>
          <xdr:rowOff>7620</xdr:rowOff>
        </xdr:to>
        <xdr:sp macro="" textlink="">
          <xdr:nvSpPr>
            <xdr:cNvPr id="2072" name="Control 24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1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51</xdr:row>
          <xdr:rowOff>30480</xdr:rowOff>
        </xdr:from>
        <xdr:to>
          <xdr:col>2</xdr:col>
          <xdr:colOff>2042160</xdr:colOff>
          <xdr:row>52</xdr:row>
          <xdr:rowOff>7620</xdr:rowOff>
        </xdr:to>
        <xdr:sp macro="" textlink="">
          <xdr:nvSpPr>
            <xdr:cNvPr id="2073" name="Control 25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1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53</xdr:row>
          <xdr:rowOff>30480</xdr:rowOff>
        </xdr:from>
        <xdr:to>
          <xdr:col>2</xdr:col>
          <xdr:colOff>2042160</xdr:colOff>
          <xdr:row>54</xdr:row>
          <xdr:rowOff>7620</xdr:rowOff>
        </xdr:to>
        <xdr:sp macro="" textlink="">
          <xdr:nvSpPr>
            <xdr:cNvPr id="2074" name="Control 26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1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55</xdr:row>
          <xdr:rowOff>0</xdr:rowOff>
        </xdr:from>
        <xdr:to>
          <xdr:col>2</xdr:col>
          <xdr:colOff>2042160</xdr:colOff>
          <xdr:row>55</xdr:row>
          <xdr:rowOff>289560</xdr:rowOff>
        </xdr:to>
        <xdr:sp macro="" textlink="">
          <xdr:nvSpPr>
            <xdr:cNvPr id="2075" name="Control 27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1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0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57</xdr:row>
          <xdr:rowOff>30480</xdr:rowOff>
        </xdr:from>
        <xdr:to>
          <xdr:col>2</xdr:col>
          <xdr:colOff>2042160</xdr:colOff>
          <xdr:row>58</xdr:row>
          <xdr:rowOff>22860</xdr:rowOff>
        </xdr:to>
        <xdr:sp macro="" textlink="">
          <xdr:nvSpPr>
            <xdr:cNvPr id="2076" name="Control 28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1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2042160</xdr:colOff>
          <xdr:row>60</xdr:row>
          <xdr:rowOff>22860</xdr:rowOff>
        </xdr:to>
        <xdr:sp macro="" textlink="">
          <xdr:nvSpPr>
            <xdr:cNvPr id="2077" name="Control 29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1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2042160</xdr:colOff>
          <xdr:row>60</xdr:row>
          <xdr:rowOff>22860</xdr:rowOff>
        </xdr:to>
        <xdr:sp macro="" textlink="">
          <xdr:nvSpPr>
            <xdr:cNvPr id="2078" name="Control 30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1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9</xdr:row>
          <xdr:rowOff>30480</xdr:rowOff>
        </xdr:from>
        <xdr:to>
          <xdr:col>5</xdr:col>
          <xdr:colOff>2042160</xdr:colOff>
          <xdr:row>10</xdr:row>
          <xdr:rowOff>7620</xdr:rowOff>
        </xdr:to>
        <xdr:sp macro="" textlink="">
          <xdr:nvSpPr>
            <xdr:cNvPr id="2079" name="Control 31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1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11</xdr:row>
          <xdr:rowOff>30480</xdr:rowOff>
        </xdr:from>
        <xdr:to>
          <xdr:col>5</xdr:col>
          <xdr:colOff>2042160</xdr:colOff>
          <xdr:row>12</xdr:row>
          <xdr:rowOff>7620</xdr:rowOff>
        </xdr:to>
        <xdr:sp macro="" textlink="">
          <xdr:nvSpPr>
            <xdr:cNvPr id="2080" name="Control 32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1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13</xdr:row>
          <xdr:rowOff>30480</xdr:rowOff>
        </xdr:from>
        <xdr:to>
          <xdr:col>5</xdr:col>
          <xdr:colOff>2042160</xdr:colOff>
          <xdr:row>14</xdr:row>
          <xdr:rowOff>7620</xdr:rowOff>
        </xdr:to>
        <xdr:sp macro="" textlink="">
          <xdr:nvSpPr>
            <xdr:cNvPr id="2081" name="Control 33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1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15</xdr:row>
          <xdr:rowOff>30480</xdr:rowOff>
        </xdr:from>
        <xdr:to>
          <xdr:col>5</xdr:col>
          <xdr:colOff>2042160</xdr:colOff>
          <xdr:row>16</xdr:row>
          <xdr:rowOff>7620</xdr:rowOff>
        </xdr:to>
        <xdr:sp macro="" textlink="">
          <xdr:nvSpPr>
            <xdr:cNvPr id="2082" name="Control 34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00000000-0008-0000-01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17</xdr:row>
          <xdr:rowOff>30480</xdr:rowOff>
        </xdr:from>
        <xdr:to>
          <xdr:col>5</xdr:col>
          <xdr:colOff>2042160</xdr:colOff>
          <xdr:row>18</xdr:row>
          <xdr:rowOff>7620</xdr:rowOff>
        </xdr:to>
        <xdr:sp macro="" textlink="">
          <xdr:nvSpPr>
            <xdr:cNvPr id="2083" name="Control 35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00000000-0008-0000-0100-00002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19</xdr:row>
          <xdr:rowOff>30480</xdr:rowOff>
        </xdr:from>
        <xdr:to>
          <xdr:col>5</xdr:col>
          <xdr:colOff>2042160</xdr:colOff>
          <xdr:row>20</xdr:row>
          <xdr:rowOff>7620</xdr:rowOff>
        </xdr:to>
        <xdr:sp macro="" textlink="">
          <xdr:nvSpPr>
            <xdr:cNvPr id="2084" name="Control 36" hidden="1">
              <a:extLst>
                <a:ext uri="{63B3BB69-23CF-44E3-9099-C40C66FF867C}">
                  <a14:compatExt spid="_x0000_s2084"/>
                </a:ext>
                <a:ext uri="{FF2B5EF4-FFF2-40B4-BE49-F238E27FC236}">
                  <a16:creationId xmlns:a16="http://schemas.microsoft.com/office/drawing/2014/main" id="{00000000-0008-0000-0100-00002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21</xdr:row>
          <xdr:rowOff>30480</xdr:rowOff>
        </xdr:from>
        <xdr:to>
          <xdr:col>5</xdr:col>
          <xdr:colOff>2042160</xdr:colOff>
          <xdr:row>22</xdr:row>
          <xdr:rowOff>7620</xdr:rowOff>
        </xdr:to>
        <xdr:sp macro="" textlink="">
          <xdr:nvSpPr>
            <xdr:cNvPr id="2085" name="Control 37" hidden="1">
              <a:extLst>
                <a:ext uri="{63B3BB69-23CF-44E3-9099-C40C66FF867C}">
                  <a14:compatExt spid="_x0000_s2085"/>
                </a:ext>
                <a:ext uri="{FF2B5EF4-FFF2-40B4-BE49-F238E27FC236}">
                  <a16:creationId xmlns:a16="http://schemas.microsoft.com/office/drawing/2014/main" id="{00000000-0008-0000-0100-00002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6" name="Control 38" hidden="1">
              <a:extLst>
                <a:ext uri="{63B3BB69-23CF-44E3-9099-C40C66FF867C}">
                  <a14:compatExt spid="_x0000_s2086"/>
                </a:ext>
                <a:ext uri="{FF2B5EF4-FFF2-40B4-BE49-F238E27FC236}">
                  <a16:creationId xmlns:a16="http://schemas.microsoft.com/office/drawing/2014/main" id="{00000000-0008-0000-0100-00002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7" name="Control 39" hidden="1">
              <a:extLst>
                <a:ext uri="{63B3BB69-23CF-44E3-9099-C40C66FF867C}">
                  <a14:compatExt spid="_x0000_s2087"/>
                </a:ext>
                <a:ext uri="{FF2B5EF4-FFF2-40B4-BE49-F238E27FC236}">
                  <a16:creationId xmlns:a16="http://schemas.microsoft.com/office/drawing/2014/main" id="{00000000-0008-0000-0100-00002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8" name="Control 40" hidden="1">
              <a:extLst>
                <a:ext uri="{63B3BB69-23CF-44E3-9099-C40C66FF867C}">
                  <a14:compatExt spid="_x0000_s2088"/>
                </a:ext>
                <a:ext uri="{FF2B5EF4-FFF2-40B4-BE49-F238E27FC236}">
                  <a16:creationId xmlns:a16="http://schemas.microsoft.com/office/drawing/2014/main" id="{00000000-0008-0000-0100-00002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25</xdr:row>
          <xdr:rowOff>30480</xdr:rowOff>
        </xdr:from>
        <xdr:to>
          <xdr:col>5</xdr:col>
          <xdr:colOff>2042160</xdr:colOff>
          <xdr:row>26</xdr:row>
          <xdr:rowOff>7620</xdr:rowOff>
        </xdr:to>
        <xdr:sp macro="" textlink="">
          <xdr:nvSpPr>
            <xdr:cNvPr id="2089" name="Control 41" hidden="1">
              <a:extLst>
                <a:ext uri="{63B3BB69-23CF-44E3-9099-C40C66FF867C}">
                  <a14:compatExt spid="_x0000_s2089"/>
                </a:ext>
                <a:ext uri="{FF2B5EF4-FFF2-40B4-BE49-F238E27FC236}">
                  <a16:creationId xmlns:a16="http://schemas.microsoft.com/office/drawing/2014/main" id="{00000000-0008-0000-0100-00002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27</xdr:row>
          <xdr:rowOff>30480</xdr:rowOff>
        </xdr:from>
        <xdr:to>
          <xdr:col>5</xdr:col>
          <xdr:colOff>2042160</xdr:colOff>
          <xdr:row>28</xdr:row>
          <xdr:rowOff>7620</xdr:rowOff>
        </xdr:to>
        <xdr:sp macro="" textlink="">
          <xdr:nvSpPr>
            <xdr:cNvPr id="2090" name="Control 42" hidden="1">
              <a:extLst>
                <a:ext uri="{63B3BB69-23CF-44E3-9099-C40C66FF867C}">
                  <a14:compatExt spid="_x0000_s2090"/>
                </a:ext>
                <a:ext uri="{FF2B5EF4-FFF2-40B4-BE49-F238E27FC236}">
                  <a16:creationId xmlns:a16="http://schemas.microsoft.com/office/drawing/2014/main" id="{00000000-0008-0000-0100-00002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29</xdr:row>
          <xdr:rowOff>30480</xdr:rowOff>
        </xdr:from>
        <xdr:to>
          <xdr:col>5</xdr:col>
          <xdr:colOff>2042160</xdr:colOff>
          <xdr:row>30</xdr:row>
          <xdr:rowOff>7620</xdr:rowOff>
        </xdr:to>
        <xdr:sp macro="" textlink="">
          <xdr:nvSpPr>
            <xdr:cNvPr id="2091" name="Control 43" hidden="1">
              <a:extLst>
                <a:ext uri="{63B3BB69-23CF-44E3-9099-C40C66FF867C}">
                  <a14:compatExt spid="_x0000_s2091"/>
                </a:ext>
                <a:ext uri="{FF2B5EF4-FFF2-40B4-BE49-F238E27FC236}">
                  <a16:creationId xmlns:a16="http://schemas.microsoft.com/office/drawing/2014/main" id="{00000000-0008-0000-0100-00002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31</xdr:row>
          <xdr:rowOff>30480</xdr:rowOff>
        </xdr:from>
        <xdr:to>
          <xdr:col>5</xdr:col>
          <xdr:colOff>2042160</xdr:colOff>
          <xdr:row>32</xdr:row>
          <xdr:rowOff>7620</xdr:rowOff>
        </xdr:to>
        <xdr:sp macro="" textlink="">
          <xdr:nvSpPr>
            <xdr:cNvPr id="2092" name="Control 44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1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33</xdr:row>
          <xdr:rowOff>30480</xdr:rowOff>
        </xdr:from>
        <xdr:to>
          <xdr:col>5</xdr:col>
          <xdr:colOff>2042160</xdr:colOff>
          <xdr:row>34</xdr:row>
          <xdr:rowOff>7620</xdr:rowOff>
        </xdr:to>
        <xdr:sp macro="" textlink="">
          <xdr:nvSpPr>
            <xdr:cNvPr id="2093" name="Control 45" hidden="1">
              <a:extLst>
                <a:ext uri="{63B3BB69-23CF-44E3-9099-C40C66FF867C}">
                  <a14:compatExt spid="_x0000_s2093"/>
                </a:ext>
                <a:ext uri="{FF2B5EF4-FFF2-40B4-BE49-F238E27FC236}">
                  <a16:creationId xmlns:a16="http://schemas.microsoft.com/office/drawing/2014/main" id="{00000000-0008-0000-0100-00002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35</xdr:row>
          <xdr:rowOff>30480</xdr:rowOff>
        </xdr:from>
        <xdr:to>
          <xdr:col>5</xdr:col>
          <xdr:colOff>2042160</xdr:colOff>
          <xdr:row>36</xdr:row>
          <xdr:rowOff>7620</xdr:rowOff>
        </xdr:to>
        <xdr:sp macro="" textlink="">
          <xdr:nvSpPr>
            <xdr:cNvPr id="2094" name="Control 46" hidden="1">
              <a:extLst>
                <a:ext uri="{63B3BB69-23CF-44E3-9099-C40C66FF867C}">
                  <a14:compatExt spid="_x0000_s2094"/>
                </a:ext>
                <a:ext uri="{FF2B5EF4-FFF2-40B4-BE49-F238E27FC236}">
                  <a16:creationId xmlns:a16="http://schemas.microsoft.com/office/drawing/2014/main" id="{00000000-0008-0000-0100-00002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37</xdr:row>
          <xdr:rowOff>30480</xdr:rowOff>
        </xdr:from>
        <xdr:to>
          <xdr:col>5</xdr:col>
          <xdr:colOff>2042160</xdr:colOff>
          <xdr:row>38</xdr:row>
          <xdr:rowOff>7620</xdr:rowOff>
        </xdr:to>
        <xdr:sp macro="" textlink="">
          <xdr:nvSpPr>
            <xdr:cNvPr id="2095" name="Control 47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:a16="http://schemas.microsoft.com/office/drawing/2014/main" id="{00000000-0008-0000-0100-00002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39</xdr:row>
          <xdr:rowOff>30480</xdr:rowOff>
        </xdr:from>
        <xdr:to>
          <xdr:col>5</xdr:col>
          <xdr:colOff>2042160</xdr:colOff>
          <xdr:row>40</xdr:row>
          <xdr:rowOff>7620</xdr:rowOff>
        </xdr:to>
        <xdr:sp macro="" textlink="">
          <xdr:nvSpPr>
            <xdr:cNvPr id="2096" name="Control 48" hidden="1">
              <a:extLst>
                <a:ext uri="{63B3BB69-23CF-44E3-9099-C40C66FF867C}">
                  <a14:compatExt spid="_x0000_s2096"/>
                </a:ext>
                <a:ext uri="{FF2B5EF4-FFF2-40B4-BE49-F238E27FC236}">
                  <a16:creationId xmlns:a16="http://schemas.microsoft.com/office/drawing/2014/main" id="{00000000-0008-0000-0100-00003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41</xdr:row>
          <xdr:rowOff>30480</xdr:rowOff>
        </xdr:from>
        <xdr:to>
          <xdr:col>5</xdr:col>
          <xdr:colOff>2042160</xdr:colOff>
          <xdr:row>42</xdr:row>
          <xdr:rowOff>7620</xdr:rowOff>
        </xdr:to>
        <xdr:sp macro="" textlink="">
          <xdr:nvSpPr>
            <xdr:cNvPr id="2097" name="Control 49" hidden="1">
              <a:extLst>
                <a:ext uri="{63B3BB69-23CF-44E3-9099-C40C66FF867C}">
                  <a14:compatExt spid="_x0000_s2097"/>
                </a:ext>
                <a:ext uri="{FF2B5EF4-FFF2-40B4-BE49-F238E27FC236}">
                  <a16:creationId xmlns:a16="http://schemas.microsoft.com/office/drawing/2014/main" id="{00000000-0008-0000-0100-00003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43</xdr:row>
          <xdr:rowOff>30480</xdr:rowOff>
        </xdr:from>
        <xdr:to>
          <xdr:col>5</xdr:col>
          <xdr:colOff>2042160</xdr:colOff>
          <xdr:row>44</xdr:row>
          <xdr:rowOff>7620</xdr:rowOff>
        </xdr:to>
        <xdr:sp macro="" textlink="">
          <xdr:nvSpPr>
            <xdr:cNvPr id="2098" name="Control 50" hidden="1">
              <a:extLst>
                <a:ext uri="{63B3BB69-23CF-44E3-9099-C40C66FF867C}">
                  <a14:compatExt spid="_x0000_s2098"/>
                </a:ext>
                <a:ext uri="{FF2B5EF4-FFF2-40B4-BE49-F238E27FC236}">
                  <a16:creationId xmlns:a16="http://schemas.microsoft.com/office/drawing/2014/main" id="{00000000-0008-0000-0100-00003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45</xdr:row>
          <xdr:rowOff>30480</xdr:rowOff>
        </xdr:from>
        <xdr:to>
          <xdr:col>5</xdr:col>
          <xdr:colOff>2042160</xdr:colOff>
          <xdr:row>46</xdr:row>
          <xdr:rowOff>7620</xdr:rowOff>
        </xdr:to>
        <xdr:sp macro="" textlink="">
          <xdr:nvSpPr>
            <xdr:cNvPr id="2099" name="Control 51" hidden="1">
              <a:extLst>
                <a:ext uri="{63B3BB69-23CF-44E3-9099-C40C66FF867C}">
                  <a14:compatExt spid="_x0000_s2099"/>
                </a:ext>
                <a:ext uri="{FF2B5EF4-FFF2-40B4-BE49-F238E27FC236}">
                  <a16:creationId xmlns:a16="http://schemas.microsoft.com/office/drawing/2014/main" id="{00000000-0008-0000-0100-00003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00" name="Control 52" hidden="1">
              <a:extLst>
                <a:ext uri="{63B3BB69-23CF-44E3-9099-C40C66FF867C}">
                  <a14:compatExt spid="_x0000_s2100"/>
                </a:ext>
                <a:ext uri="{FF2B5EF4-FFF2-40B4-BE49-F238E27FC236}">
                  <a16:creationId xmlns:a16="http://schemas.microsoft.com/office/drawing/2014/main" id="{00000000-0008-0000-0100-00003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01" name="Control 53" hidden="1">
              <a:extLst>
                <a:ext uri="{63B3BB69-23CF-44E3-9099-C40C66FF867C}">
                  <a14:compatExt spid="_x0000_s2101"/>
                </a:ext>
                <a:ext uri="{FF2B5EF4-FFF2-40B4-BE49-F238E27FC236}">
                  <a16:creationId xmlns:a16="http://schemas.microsoft.com/office/drawing/2014/main" id="{00000000-0008-0000-0100-00003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51</xdr:row>
          <xdr:rowOff>30480</xdr:rowOff>
        </xdr:from>
        <xdr:to>
          <xdr:col>5</xdr:col>
          <xdr:colOff>2042160</xdr:colOff>
          <xdr:row>52</xdr:row>
          <xdr:rowOff>7620</xdr:rowOff>
        </xdr:to>
        <xdr:sp macro="" textlink="">
          <xdr:nvSpPr>
            <xdr:cNvPr id="2102" name="Control 54" hidden="1">
              <a:extLst>
                <a:ext uri="{63B3BB69-23CF-44E3-9099-C40C66FF867C}">
                  <a14:compatExt spid="_x0000_s2102"/>
                </a:ext>
                <a:ext uri="{FF2B5EF4-FFF2-40B4-BE49-F238E27FC236}">
                  <a16:creationId xmlns:a16="http://schemas.microsoft.com/office/drawing/2014/main" id="{00000000-0008-0000-0100-00003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03" name="Control 55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00000000-0008-0000-0100-00003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55</xdr:row>
          <xdr:rowOff>0</xdr:rowOff>
        </xdr:from>
        <xdr:to>
          <xdr:col>5</xdr:col>
          <xdr:colOff>2042160</xdr:colOff>
          <xdr:row>55</xdr:row>
          <xdr:rowOff>289560</xdr:rowOff>
        </xdr:to>
        <xdr:sp macro="" textlink="">
          <xdr:nvSpPr>
            <xdr:cNvPr id="2104" name="Control 56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1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05" name="Control 57" hidden="1">
              <a:extLst>
                <a:ext uri="{63B3BB69-23CF-44E3-9099-C40C66FF867C}">
                  <a14:compatExt spid="_x0000_s2105"/>
                </a:ext>
                <a:ext uri="{FF2B5EF4-FFF2-40B4-BE49-F238E27FC236}">
                  <a16:creationId xmlns:a16="http://schemas.microsoft.com/office/drawing/2014/main" id="{00000000-0008-0000-0100-00003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59</xdr:row>
          <xdr:rowOff>30480</xdr:rowOff>
        </xdr:from>
        <xdr:to>
          <xdr:col>5</xdr:col>
          <xdr:colOff>2042160</xdr:colOff>
          <xdr:row>60</xdr:row>
          <xdr:rowOff>22860</xdr:rowOff>
        </xdr:to>
        <xdr:sp macro="" textlink="">
          <xdr:nvSpPr>
            <xdr:cNvPr id="2106" name="Control 58" hidden="1">
              <a:extLst>
                <a:ext uri="{63B3BB69-23CF-44E3-9099-C40C66FF867C}">
                  <a14:compatExt spid="_x0000_s2106"/>
                </a:ext>
                <a:ext uri="{FF2B5EF4-FFF2-40B4-BE49-F238E27FC236}">
                  <a16:creationId xmlns:a16="http://schemas.microsoft.com/office/drawing/2014/main" id="{00000000-0008-0000-0100-00003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9</xdr:row>
          <xdr:rowOff>30480</xdr:rowOff>
        </xdr:from>
        <xdr:to>
          <xdr:col>9</xdr:col>
          <xdr:colOff>716280</xdr:colOff>
          <xdr:row>10</xdr:row>
          <xdr:rowOff>7620</xdr:rowOff>
        </xdr:to>
        <xdr:sp macro="" textlink="">
          <xdr:nvSpPr>
            <xdr:cNvPr id="2107" name="Control 59" hidden="1">
              <a:extLst>
                <a:ext uri="{63B3BB69-23CF-44E3-9099-C40C66FF867C}">
                  <a14:compatExt spid="_x0000_s2107"/>
                </a:ext>
                <a:ext uri="{FF2B5EF4-FFF2-40B4-BE49-F238E27FC236}">
                  <a16:creationId xmlns:a16="http://schemas.microsoft.com/office/drawing/2014/main" id="{00000000-0008-0000-0100-00003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11</xdr:row>
          <xdr:rowOff>30480</xdr:rowOff>
        </xdr:from>
        <xdr:to>
          <xdr:col>9</xdr:col>
          <xdr:colOff>716280</xdr:colOff>
          <xdr:row>12</xdr:row>
          <xdr:rowOff>7620</xdr:rowOff>
        </xdr:to>
        <xdr:sp macro="" textlink="">
          <xdr:nvSpPr>
            <xdr:cNvPr id="2108" name="Control 60" hidden="1">
              <a:extLst>
                <a:ext uri="{63B3BB69-23CF-44E3-9099-C40C66FF867C}">
                  <a14:compatExt spid="_x0000_s2108"/>
                </a:ext>
                <a:ext uri="{FF2B5EF4-FFF2-40B4-BE49-F238E27FC236}">
                  <a16:creationId xmlns:a16="http://schemas.microsoft.com/office/drawing/2014/main" id="{00000000-0008-0000-0100-00003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13</xdr:row>
          <xdr:rowOff>30480</xdr:rowOff>
        </xdr:from>
        <xdr:to>
          <xdr:col>9</xdr:col>
          <xdr:colOff>716280</xdr:colOff>
          <xdr:row>14</xdr:row>
          <xdr:rowOff>7620</xdr:rowOff>
        </xdr:to>
        <xdr:sp macro="" textlink="">
          <xdr:nvSpPr>
            <xdr:cNvPr id="2109" name="Control 61" hidden="1">
              <a:extLst>
                <a:ext uri="{63B3BB69-23CF-44E3-9099-C40C66FF867C}">
                  <a14:compatExt spid="_x0000_s2109"/>
                </a:ext>
                <a:ext uri="{FF2B5EF4-FFF2-40B4-BE49-F238E27FC236}">
                  <a16:creationId xmlns:a16="http://schemas.microsoft.com/office/drawing/2014/main" id="{00000000-0008-0000-0100-00003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15</xdr:row>
          <xdr:rowOff>30480</xdr:rowOff>
        </xdr:from>
        <xdr:to>
          <xdr:col>9</xdr:col>
          <xdr:colOff>716280</xdr:colOff>
          <xdr:row>16</xdr:row>
          <xdr:rowOff>7620</xdr:rowOff>
        </xdr:to>
        <xdr:sp macro="" textlink="">
          <xdr:nvSpPr>
            <xdr:cNvPr id="2110" name="Control 62" hidden="1">
              <a:extLst>
                <a:ext uri="{63B3BB69-23CF-44E3-9099-C40C66FF867C}">
                  <a14:compatExt spid="_x0000_s2110"/>
                </a:ext>
                <a:ext uri="{FF2B5EF4-FFF2-40B4-BE49-F238E27FC236}">
                  <a16:creationId xmlns:a16="http://schemas.microsoft.com/office/drawing/2014/main" id="{00000000-0008-0000-0100-00003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17</xdr:row>
          <xdr:rowOff>30480</xdr:rowOff>
        </xdr:from>
        <xdr:to>
          <xdr:col>9</xdr:col>
          <xdr:colOff>716280</xdr:colOff>
          <xdr:row>18</xdr:row>
          <xdr:rowOff>7620</xdr:rowOff>
        </xdr:to>
        <xdr:sp macro="" textlink="">
          <xdr:nvSpPr>
            <xdr:cNvPr id="2111" name="Control 63" hidden="1">
              <a:extLst>
                <a:ext uri="{63B3BB69-23CF-44E3-9099-C40C66FF867C}">
                  <a14:compatExt spid="_x0000_s2111"/>
                </a:ext>
                <a:ext uri="{FF2B5EF4-FFF2-40B4-BE49-F238E27FC236}">
                  <a16:creationId xmlns:a16="http://schemas.microsoft.com/office/drawing/2014/main" id="{00000000-0008-0000-0100-00003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19</xdr:row>
          <xdr:rowOff>30480</xdr:rowOff>
        </xdr:from>
        <xdr:to>
          <xdr:col>9</xdr:col>
          <xdr:colOff>716280</xdr:colOff>
          <xdr:row>20</xdr:row>
          <xdr:rowOff>7620</xdr:rowOff>
        </xdr:to>
        <xdr:sp macro="" textlink="">
          <xdr:nvSpPr>
            <xdr:cNvPr id="2112" name="Control 64" hidden="1">
              <a:extLst>
                <a:ext uri="{63B3BB69-23CF-44E3-9099-C40C66FF867C}">
                  <a14:compatExt spid="_x0000_s2112"/>
                </a:ext>
                <a:ext uri="{FF2B5EF4-FFF2-40B4-BE49-F238E27FC236}">
                  <a16:creationId xmlns:a16="http://schemas.microsoft.com/office/drawing/2014/main" id="{00000000-0008-0000-0100-00004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21</xdr:row>
          <xdr:rowOff>30480</xdr:rowOff>
        </xdr:from>
        <xdr:to>
          <xdr:col>9</xdr:col>
          <xdr:colOff>716280</xdr:colOff>
          <xdr:row>22</xdr:row>
          <xdr:rowOff>7620</xdr:rowOff>
        </xdr:to>
        <xdr:sp macro="" textlink="">
          <xdr:nvSpPr>
            <xdr:cNvPr id="2113" name="Control 65" hidden="1">
              <a:extLst>
                <a:ext uri="{63B3BB69-23CF-44E3-9099-C40C66FF867C}">
                  <a14:compatExt spid="_x0000_s2113"/>
                </a:ext>
                <a:ext uri="{FF2B5EF4-FFF2-40B4-BE49-F238E27FC236}">
                  <a16:creationId xmlns:a16="http://schemas.microsoft.com/office/drawing/2014/main" id="{00000000-0008-0000-0100-00004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23</xdr:row>
          <xdr:rowOff>30480</xdr:rowOff>
        </xdr:from>
        <xdr:to>
          <xdr:col>9</xdr:col>
          <xdr:colOff>716280</xdr:colOff>
          <xdr:row>24</xdr:row>
          <xdr:rowOff>7620</xdr:rowOff>
        </xdr:to>
        <xdr:sp macro="" textlink="">
          <xdr:nvSpPr>
            <xdr:cNvPr id="2114" name="Control 66" hidden="1">
              <a:extLst>
                <a:ext uri="{63B3BB69-23CF-44E3-9099-C40C66FF867C}">
                  <a14:compatExt spid="_x0000_s2114"/>
                </a:ext>
                <a:ext uri="{FF2B5EF4-FFF2-40B4-BE49-F238E27FC236}">
                  <a16:creationId xmlns:a16="http://schemas.microsoft.com/office/drawing/2014/main" id="{00000000-0008-0000-0100-00004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25</xdr:row>
          <xdr:rowOff>30480</xdr:rowOff>
        </xdr:from>
        <xdr:to>
          <xdr:col>9</xdr:col>
          <xdr:colOff>716280</xdr:colOff>
          <xdr:row>26</xdr:row>
          <xdr:rowOff>7620</xdr:rowOff>
        </xdr:to>
        <xdr:sp macro="" textlink="">
          <xdr:nvSpPr>
            <xdr:cNvPr id="2115" name="Control 67" hidden="1">
              <a:extLst>
                <a:ext uri="{63B3BB69-23CF-44E3-9099-C40C66FF867C}">
                  <a14:compatExt spid="_x0000_s2115"/>
                </a:ext>
                <a:ext uri="{FF2B5EF4-FFF2-40B4-BE49-F238E27FC236}">
                  <a16:creationId xmlns:a16="http://schemas.microsoft.com/office/drawing/2014/main" id="{00000000-0008-0000-0100-00004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27</xdr:row>
          <xdr:rowOff>30480</xdr:rowOff>
        </xdr:from>
        <xdr:to>
          <xdr:col>9</xdr:col>
          <xdr:colOff>716280</xdr:colOff>
          <xdr:row>28</xdr:row>
          <xdr:rowOff>7620</xdr:rowOff>
        </xdr:to>
        <xdr:sp macro="" textlink="">
          <xdr:nvSpPr>
            <xdr:cNvPr id="2116" name="Control 68" hidden="1">
              <a:extLst>
                <a:ext uri="{63B3BB69-23CF-44E3-9099-C40C66FF867C}">
                  <a14:compatExt spid="_x0000_s2116"/>
                </a:ext>
                <a:ext uri="{FF2B5EF4-FFF2-40B4-BE49-F238E27FC236}">
                  <a16:creationId xmlns:a16="http://schemas.microsoft.com/office/drawing/2014/main" id="{00000000-0008-0000-0100-00004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29</xdr:row>
          <xdr:rowOff>30480</xdr:rowOff>
        </xdr:from>
        <xdr:to>
          <xdr:col>9</xdr:col>
          <xdr:colOff>716280</xdr:colOff>
          <xdr:row>30</xdr:row>
          <xdr:rowOff>7620</xdr:rowOff>
        </xdr:to>
        <xdr:sp macro="" textlink="">
          <xdr:nvSpPr>
            <xdr:cNvPr id="2117" name="Control 69" hidden="1">
              <a:extLst>
                <a:ext uri="{63B3BB69-23CF-44E3-9099-C40C66FF867C}">
                  <a14:compatExt spid="_x0000_s2117"/>
                </a:ext>
                <a:ext uri="{FF2B5EF4-FFF2-40B4-BE49-F238E27FC236}">
                  <a16:creationId xmlns:a16="http://schemas.microsoft.com/office/drawing/2014/main" id="{00000000-0008-0000-0100-00004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31</xdr:row>
          <xdr:rowOff>30480</xdr:rowOff>
        </xdr:from>
        <xdr:to>
          <xdr:col>9</xdr:col>
          <xdr:colOff>716280</xdr:colOff>
          <xdr:row>32</xdr:row>
          <xdr:rowOff>7620</xdr:rowOff>
        </xdr:to>
        <xdr:sp macro="" textlink="">
          <xdr:nvSpPr>
            <xdr:cNvPr id="2118" name="Control 70" hidden="1">
              <a:extLst>
                <a:ext uri="{63B3BB69-23CF-44E3-9099-C40C66FF867C}">
                  <a14:compatExt spid="_x0000_s2118"/>
                </a:ext>
                <a:ext uri="{FF2B5EF4-FFF2-40B4-BE49-F238E27FC236}">
                  <a16:creationId xmlns:a16="http://schemas.microsoft.com/office/drawing/2014/main" id="{00000000-0008-0000-0100-00004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35</xdr:row>
          <xdr:rowOff>30480</xdr:rowOff>
        </xdr:from>
        <xdr:to>
          <xdr:col>9</xdr:col>
          <xdr:colOff>716280</xdr:colOff>
          <xdr:row>36</xdr:row>
          <xdr:rowOff>7620</xdr:rowOff>
        </xdr:to>
        <xdr:sp macro="" textlink="">
          <xdr:nvSpPr>
            <xdr:cNvPr id="2119" name="Control 71" hidden="1">
              <a:extLst>
                <a:ext uri="{63B3BB69-23CF-44E3-9099-C40C66FF867C}">
                  <a14:compatExt spid="_x0000_s2119"/>
                </a:ext>
                <a:ext uri="{FF2B5EF4-FFF2-40B4-BE49-F238E27FC236}">
                  <a16:creationId xmlns:a16="http://schemas.microsoft.com/office/drawing/2014/main" id="{00000000-0008-0000-0100-00004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37</xdr:row>
          <xdr:rowOff>30480</xdr:rowOff>
        </xdr:from>
        <xdr:to>
          <xdr:col>9</xdr:col>
          <xdr:colOff>716280</xdr:colOff>
          <xdr:row>38</xdr:row>
          <xdr:rowOff>7620</xdr:rowOff>
        </xdr:to>
        <xdr:sp macro="" textlink="">
          <xdr:nvSpPr>
            <xdr:cNvPr id="2120" name="Control 72" hidden="1">
              <a:extLst>
                <a:ext uri="{63B3BB69-23CF-44E3-9099-C40C66FF867C}">
                  <a14:compatExt spid="_x0000_s2120"/>
                </a:ext>
                <a:ext uri="{FF2B5EF4-FFF2-40B4-BE49-F238E27FC236}">
                  <a16:creationId xmlns:a16="http://schemas.microsoft.com/office/drawing/2014/main" id="{00000000-0008-0000-0100-00004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39</xdr:row>
          <xdr:rowOff>30480</xdr:rowOff>
        </xdr:from>
        <xdr:to>
          <xdr:col>9</xdr:col>
          <xdr:colOff>716280</xdr:colOff>
          <xdr:row>40</xdr:row>
          <xdr:rowOff>7620</xdr:rowOff>
        </xdr:to>
        <xdr:sp macro="" textlink="">
          <xdr:nvSpPr>
            <xdr:cNvPr id="2121" name="Control 73" hidden="1">
              <a:extLst>
                <a:ext uri="{63B3BB69-23CF-44E3-9099-C40C66FF867C}">
                  <a14:compatExt spid="_x0000_s2121"/>
                </a:ext>
                <a:ext uri="{FF2B5EF4-FFF2-40B4-BE49-F238E27FC236}">
                  <a16:creationId xmlns:a16="http://schemas.microsoft.com/office/drawing/2014/main" id="{00000000-0008-0000-0100-00004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41</xdr:row>
          <xdr:rowOff>30480</xdr:rowOff>
        </xdr:from>
        <xdr:to>
          <xdr:col>9</xdr:col>
          <xdr:colOff>716280</xdr:colOff>
          <xdr:row>42</xdr:row>
          <xdr:rowOff>7620</xdr:rowOff>
        </xdr:to>
        <xdr:sp macro="" textlink="">
          <xdr:nvSpPr>
            <xdr:cNvPr id="2122" name="Control 74" hidden="1">
              <a:extLst>
                <a:ext uri="{63B3BB69-23CF-44E3-9099-C40C66FF867C}">
                  <a14:compatExt spid="_x0000_s2122"/>
                </a:ext>
                <a:ext uri="{FF2B5EF4-FFF2-40B4-BE49-F238E27FC236}">
                  <a16:creationId xmlns:a16="http://schemas.microsoft.com/office/drawing/2014/main" id="{00000000-0008-0000-0100-00004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43</xdr:row>
          <xdr:rowOff>30480</xdr:rowOff>
        </xdr:from>
        <xdr:to>
          <xdr:col>9</xdr:col>
          <xdr:colOff>716280</xdr:colOff>
          <xdr:row>44</xdr:row>
          <xdr:rowOff>7620</xdr:rowOff>
        </xdr:to>
        <xdr:sp macro="" textlink="">
          <xdr:nvSpPr>
            <xdr:cNvPr id="2123" name="Control 75" hidden="1">
              <a:extLst>
                <a:ext uri="{63B3BB69-23CF-44E3-9099-C40C66FF867C}">
                  <a14:compatExt spid="_x0000_s2123"/>
                </a:ext>
                <a:ext uri="{FF2B5EF4-FFF2-40B4-BE49-F238E27FC236}">
                  <a16:creationId xmlns:a16="http://schemas.microsoft.com/office/drawing/2014/main" id="{00000000-0008-0000-0100-00004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45</xdr:row>
          <xdr:rowOff>30480</xdr:rowOff>
        </xdr:from>
        <xdr:to>
          <xdr:col>9</xdr:col>
          <xdr:colOff>716280</xdr:colOff>
          <xdr:row>46</xdr:row>
          <xdr:rowOff>7620</xdr:rowOff>
        </xdr:to>
        <xdr:sp macro="" textlink="">
          <xdr:nvSpPr>
            <xdr:cNvPr id="2124" name="Control 76" hidden="1">
              <a:extLst>
                <a:ext uri="{63B3BB69-23CF-44E3-9099-C40C66FF867C}">
                  <a14:compatExt spid="_x0000_s2124"/>
                </a:ext>
                <a:ext uri="{FF2B5EF4-FFF2-40B4-BE49-F238E27FC236}">
                  <a16:creationId xmlns:a16="http://schemas.microsoft.com/office/drawing/2014/main" id="{00000000-0008-0000-0100-00004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25" name="Control 77" hidden="1">
              <a:extLst>
                <a:ext uri="{63B3BB69-23CF-44E3-9099-C40C66FF867C}">
                  <a14:compatExt spid="_x0000_s2125"/>
                </a:ext>
                <a:ext uri="{FF2B5EF4-FFF2-40B4-BE49-F238E27FC236}">
                  <a16:creationId xmlns:a16="http://schemas.microsoft.com/office/drawing/2014/main" id="{00000000-0008-0000-0100-00004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26" name="Control 78" hidden="1">
              <a:extLst>
                <a:ext uri="{63B3BB69-23CF-44E3-9099-C40C66FF867C}">
                  <a14:compatExt spid="_x0000_s2126"/>
                </a:ext>
                <a:ext uri="{FF2B5EF4-FFF2-40B4-BE49-F238E27FC236}">
                  <a16:creationId xmlns:a16="http://schemas.microsoft.com/office/drawing/2014/main" id="{00000000-0008-0000-0100-00004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27" name="Control 79" hidden="1">
              <a:extLst>
                <a:ext uri="{63B3BB69-23CF-44E3-9099-C40C66FF867C}">
                  <a14:compatExt spid="_x0000_s2127"/>
                </a:ext>
                <a:ext uri="{FF2B5EF4-FFF2-40B4-BE49-F238E27FC236}">
                  <a16:creationId xmlns:a16="http://schemas.microsoft.com/office/drawing/2014/main" id="{00000000-0008-0000-0100-00004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8" name="Control 80" hidden="1">
              <a:extLst>
                <a:ext uri="{63B3BB69-23CF-44E3-9099-C40C66FF867C}">
                  <a14:compatExt spid="_x0000_s2128"/>
                </a:ext>
                <a:ext uri="{FF2B5EF4-FFF2-40B4-BE49-F238E27FC236}">
                  <a16:creationId xmlns:a16="http://schemas.microsoft.com/office/drawing/2014/main" id="{00000000-0008-0000-0100-00005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9" name="Control 81" hidden="1">
              <a:extLst>
                <a:ext uri="{63B3BB69-23CF-44E3-9099-C40C66FF867C}">
                  <a14:compatExt spid="_x0000_s2129"/>
                </a:ext>
                <a:ext uri="{FF2B5EF4-FFF2-40B4-BE49-F238E27FC236}">
                  <a16:creationId xmlns:a16="http://schemas.microsoft.com/office/drawing/2014/main" id="{00000000-0008-0000-0100-00005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0" name="Control 82" hidden="1">
              <a:extLst>
                <a:ext uri="{63B3BB69-23CF-44E3-9099-C40C66FF867C}">
                  <a14:compatExt spid="_x0000_s2130"/>
                </a:ext>
                <a:ext uri="{FF2B5EF4-FFF2-40B4-BE49-F238E27FC236}">
                  <a16:creationId xmlns:a16="http://schemas.microsoft.com/office/drawing/2014/main" id="{00000000-0008-0000-0100-00005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1" name="Control 83" hidden="1">
              <a:extLst>
                <a:ext uri="{63B3BB69-23CF-44E3-9099-C40C66FF867C}">
                  <a14:compatExt spid="_x0000_s2131"/>
                </a:ext>
                <a:ext uri="{FF2B5EF4-FFF2-40B4-BE49-F238E27FC236}">
                  <a16:creationId xmlns:a16="http://schemas.microsoft.com/office/drawing/2014/main" id="{00000000-0008-0000-0100-00005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32" name="Control 84" hidden="1">
              <a:extLst>
                <a:ext uri="{63B3BB69-23CF-44E3-9099-C40C66FF867C}">
                  <a14:compatExt spid="_x0000_s2132"/>
                </a:ext>
                <a:ext uri="{FF2B5EF4-FFF2-40B4-BE49-F238E27FC236}">
                  <a16:creationId xmlns:a16="http://schemas.microsoft.com/office/drawing/2014/main" id="{00000000-0008-0000-0100-00005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33" name="Control 85" hidden="1">
              <a:extLst>
                <a:ext uri="{63B3BB69-23CF-44E3-9099-C40C66FF867C}">
                  <a14:compatExt spid="_x0000_s2133"/>
                </a:ext>
                <a:ext uri="{FF2B5EF4-FFF2-40B4-BE49-F238E27FC236}">
                  <a16:creationId xmlns:a16="http://schemas.microsoft.com/office/drawing/2014/main" id="{00000000-0008-0000-0100-00005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34" name="Control 86" hidden="1">
              <a:extLst>
                <a:ext uri="{63B3BB69-23CF-44E3-9099-C40C66FF867C}">
                  <a14:compatExt spid="_x0000_s2134"/>
                </a:ext>
                <a:ext uri="{FF2B5EF4-FFF2-40B4-BE49-F238E27FC236}">
                  <a16:creationId xmlns:a16="http://schemas.microsoft.com/office/drawing/2014/main" id="{00000000-0008-0000-0100-00005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35" name="Control 87" hidden="1">
              <a:extLst>
                <a:ext uri="{63B3BB69-23CF-44E3-9099-C40C66FF867C}">
                  <a14:compatExt spid="_x0000_s2135"/>
                </a:ext>
                <a:ext uri="{FF2B5EF4-FFF2-40B4-BE49-F238E27FC236}">
                  <a16:creationId xmlns:a16="http://schemas.microsoft.com/office/drawing/2014/main" id="{00000000-0008-0000-0100-00005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36" name="Control 88" hidden="1">
              <a:extLst>
                <a:ext uri="{63B3BB69-23CF-44E3-9099-C40C66FF867C}">
                  <a14:compatExt spid="_x0000_s2136"/>
                </a:ext>
                <a:ext uri="{FF2B5EF4-FFF2-40B4-BE49-F238E27FC236}">
                  <a16:creationId xmlns:a16="http://schemas.microsoft.com/office/drawing/2014/main" id="{00000000-0008-0000-0100-00005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53</xdr:row>
          <xdr:rowOff>30480</xdr:rowOff>
        </xdr:from>
        <xdr:to>
          <xdr:col>9</xdr:col>
          <xdr:colOff>716280</xdr:colOff>
          <xdr:row>54</xdr:row>
          <xdr:rowOff>7620</xdr:rowOff>
        </xdr:to>
        <xdr:sp macro="" textlink="">
          <xdr:nvSpPr>
            <xdr:cNvPr id="2137" name="Control 89" hidden="1">
              <a:extLst>
                <a:ext uri="{63B3BB69-23CF-44E3-9099-C40C66FF867C}">
                  <a14:compatExt spid="_x0000_s2137"/>
                </a:ext>
                <a:ext uri="{FF2B5EF4-FFF2-40B4-BE49-F238E27FC236}">
                  <a16:creationId xmlns:a16="http://schemas.microsoft.com/office/drawing/2014/main" id="{00000000-0008-0000-0100-00005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8" name="Control 90" hidden="1">
              <a:extLst>
                <a:ext uri="{63B3BB69-23CF-44E3-9099-C40C66FF867C}">
                  <a14:compatExt spid="_x0000_s2138"/>
                </a:ext>
                <a:ext uri="{FF2B5EF4-FFF2-40B4-BE49-F238E27FC236}">
                  <a16:creationId xmlns:a16="http://schemas.microsoft.com/office/drawing/2014/main" id="{00000000-0008-0000-0100-00005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9" name="Control 91" hidden="1">
              <a:extLst>
                <a:ext uri="{63B3BB69-23CF-44E3-9099-C40C66FF867C}">
                  <a14:compatExt spid="_x0000_s2139"/>
                </a:ext>
                <a:ext uri="{FF2B5EF4-FFF2-40B4-BE49-F238E27FC236}">
                  <a16:creationId xmlns:a16="http://schemas.microsoft.com/office/drawing/2014/main" id="{00000000-0008-0000-0100-00005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0" name="Control 92" hidden="1">
              <a:extLst>
                <a:ext uri="{63B3BB69-23CF-44E3-9099-C40C66FF867C}">
                  <a14:compatExt spid="_x0000_s2140"/>
                </a:ext>
                <a:ext uri="{FF2B5EF4-FFF2-40B4-BE49-F238E27FC236}">
                  <a16:creationId xmlns:a16="http://schemas.microsoft.com/office/drawing/2014/main" id="{00000000-0008-0000-0100-00005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1" name="Control 93" hidden="1">
              <a:extLst>
                <a:ext uri="{63B3BB69-23CF-44E3-9099-C40C66FF867C}">
                  <a14:compatExt spid="_x0000_s2141"/>
                </a:ext>
                <a:ext uri="{FF2B5EF4-FFF2-40B4-BE49-F238E27FC236}">
                  <a16:creationId xmlns:a16="http://schemas.microsoft.com/office/drawing/2014/main" id="{00000000-0008-0000-0100-00005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42" name="Control 94" hidden="1">
              <a:extLst>
                <a:ext uri="{63B3BB69-23CF-44E3-9099-C40C66FF867C}">
                  <a14:compatExt spid="_x0000_s2142"/>
                </a:ext>
                <a:ext uri="{FF2B5EF4-FFF2-40B4-BE49-F238E27FC236}">
                  <a16:creationId xmlns:a16="http://schemas.microsoft.com/office/drawing/2014/main" id="{00000000-0008-0000-0100-00005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43" name="Control 95" hidden="1">
              <a:extLst>
                <a:ext uri="{63B3BB69-23CF-44E3-9099-C40C66FF867C}">
                  <a14:compatExt spid="_x0000_s2143"/>
                </a:ext>
                <a:ext uri="{FF2B5EF4-FFF2-40B4-BE49-F238E27FC236}">
                  <a16:creationId xmlns:a16="http://schemas.microsoft.com/office/drawing/2014/main" id="{00000000-0008-0000-0100-00005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4" name="Control 96" hidden="1">
              <a:extLst>
                <a:ext uri="{63B3BB69-23CF-44E3-9099-C40C66FF867C}">
                  <a14:compatExt spid="_x0000_s2144"/>
                </a:ext>
                <a:ext uri="{FF2B5EF4-FFF2-40B4-BE49-F238E27FC236}">
                  <a16:creationId xmlns:a16="http://schemas.microsoft.com/office/drawing/2014/main" id="{00000000-0008-0000-0100-00006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5" name="Control 97" hidden="1">
              <a:extLst>
                <a:ext uri="{63B3BB69-23CF-44E3-9099-C40C66FF867C}">
                  <a14:compatExt spid="_x0000_s2145"/>
                </a:ext>
                <a:ext uri="{FF2B5EF4-FFF2-40B4-BE49-F238E27FC236}">
                  <a16:creationId xmlns:a16="http://schemas.microsoft.com/office/drawing/2014/main" id="{00000000-0008-0000-0100-00006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61</xdr:row>
          <xdr:rowOff>30480</xdr:rowOff>
        </xdr:from>
        <xdr:to>
          <xdr:col>5</xdr:col>
          <xdr:colOff>2042160</xdr:colOff>
          <xdr:row>62</xdr:row>
          <xdr:rowOff>22860</xdr:rowOff>
        </xdr:to>
        <xdr:sp macro="" textlink="">
          <xdr:nvSpPr>
            <xdr:cNvPr id="2146" name="Control 98" hidden="1">
              <a:extLst>
                <a:ext uri="{63B3BB69-23CF-44E3-9099-C40C66FF867C}">
                  <a14:compatExt spid="_x0000_s2146"/>
                </a:ext>
                <a:ext uri="{FF2B5EF4-FFF2-40B4-BE49-F238E27FC236}">
                  <a16:creationId xmlns:a16="http://schemas.microsoft.com/office/drawing/2014/main" id="{00000000-0008-0000-0100-00006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7" name="Control 99" hidden="1">
              <a:extLst>
                <a:ext uri="{63B3BB69-23CF-44E3-9099-C40C66FF867C}">
                  <a14:compatExt spid="_x0000_s2147"/>
                </a:ext>
                <a:ext uri="{FF2B5EF4-FFF2-40B4-BE49-F238E27FC236}">
                  <a16:creationId xmlns:a16="http://schemas.microsoft.com/office/drawing/2014/main" id="{00000000-0008-0000-0100-00006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8" name="Control 100" hidden="1">
              <a:extLst>
                <a:ext uri="{63B3BB69-23CF-44E3-9099-C40C66FF867C}">
                  <a14:compatExt spid="_x0000_s2148"/>
                </a:ext>
                <a:ext uri="{FF2B5EF4-FFF2-40B4-BE49-F238E27FC236}">
                  <a16:creationId xmlns:a16="http://schemas.microsoft.com/office/drawing/2014/main" id="{00000000-0008-0000-0100-00006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49" name="Control 101" hidden="1">
              <a:extLst>
                <a:ext uri="{63B3BB69-23CF-44E3-9099-C40C66FF867C}">
                  <a14:compatExt spid="_x0000_s2149"/>
                </a:ext>
                <a:ext uri="{FF2B5EF4-FFF2-40B4-BE49-F238E27FC236}">
                  <a16:creationId xmlns:a16="http://schemas.microsoft.com/office/drawing/2014/main" id="{00000000-0008-0000-0100-00006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50" name="Control 102" hidden="1">
              <a:extLst>
                <a:ext uri="{63B3BB69-23CF-44E3-9099-C40C66FF867C}">
                  <a14:compatExt spid="_x0000_s2150"/>
                </a:ext>
                <a:ext uri="{FF2B5EF4-FFF2-40B4-BE49-F238E27FC236}">
                  <a16:creationId xmlns:a16="http://schemas.microsoft.com/office/drawing/2014/main" id="{00000000-0008-0000-0100-00006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65</xdr:row>
          <xdr:rowOff>30480</xdr:rowOff>
        </xdr:from>
        <xdr:to>
          <xdr:col>5</xdr:col>
          <xdr:colOff>2042160</xdr:colOff>
          <xdr:row>66</xdr:row>
          <xdr:rowOff>22860</xdr:rowOff>
        </xdr:to>
        <xdr:sp macro="" textlink="">
          <xdr:nvSpPr>
            <xdr:cNvPr id="2151" name="Control 103" hidden="1">
              <a:extLst>
                <a:ext uri="{63B3BB69-23CF-44E3-9099-C40C66FF867C}">
                  <a14:compatExt spid="_x0000_s2151"/>
                </a:ext>
                <a:ext uri="{FF2B5EF4-FFF2-40B4-BE49-F238E27FC236}">
                  <a16:creationId xmlns:a16="http://schemas.microsoft.com/office/drawing/2014/main" id="{00000000-0008-0000-0100-00006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63</xdr:row>
          <xdr:rowOff>30480</xdr:rowOff>
        </xdr:from>
        <xdr:to>
          <xdr:col>5</xdr:col>
          <xdr:colOff>2042160</xdr:colOff>
          <xdr:row>64</xdr:row>
          <xdr:rowOff>22860</xdr:rowOff>
        </xdr:to>
        <xdr:sp macro="" textlink="">
          <xdr:nvSpPr>
            <xdr:cNvPr id="2152" name="Control 104" hidden="1">
              <a:extLst>
                <a:ext uri="{63B3BB69-23CF-44E3-9099-C40C66FF867C}">
                  <a14:compatExt spid="_x0000_s2152"/>
                </a:ext>
                <a:ext uri="{FF2B5EF4-FFF2-40B4-BE49-F238E27FC236}">
                  <a16:creationId xmlns:a16="http://schemas.microsoft.com/office/drawing/2014/main" id="{00000000-0008-0000-0100-00006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33</xdr:row>
          <xdr:rowOff>30480</xdr:rowOff>
        </xdr:from>
        <xdr:to>
          <xdr:col>9</xdr:col>
          <xdr:colOff>716280</xdr:colOff>
          <xdr:row>34</xdr:row>
          <xdr:rowOff>7620</xdr:rowOff>
        </xdr:to>
        <xdr:sp macro="" textlink="">
          <xdr:nvSpPr>
            <xdr:cNvPr id="2153" name="Control 105" hidden="1">
              <a:extLst>
                <a:ext uri="{63B3BB69-23CF-44E3-9099-C40C66FF867C}">
                  <a14:compatExt spid="_x0000_s2153"/>
                </a:ext>
                <a:ext uri="{FF2B5EF4-FFF2-40B4-BE49-F238E27FC236}">
                  <a16:creationId xmlns:a16="http://schemas.microsoft.com/office/drawing/2014/main" id="{00000000-0008-0000-0100-00006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4" name="Control 106" hidden="1">
              <a:extLst>
                <a:ext uri="{63B3BB69-23CF-44E3-9099-C40C66FF867C}">
                  <a14:compatExt spid="_x0000_s2154"/>
                </a:ext>
                <a:ext uri="{FF2B5EF4-FFF2-40B4-BE49-F238E27FC236}">
                  <a16:creationId xmlns:a16="http://schemas.microsoft.com/office/drawing/2014/main" id="{00000000-0008-0000-0100-00006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5" name="Control 107" hidden="1">
              <a:extLst>
                <a:ext uri="{63B3BB69-23CF-44E3-9099-C40C66FF867C}">
                  <a14:compatExt spid="_x0000_s2155"/>
                </a:ext>
                <a:ext uri="{FF2B5EF4-FFF2-40B4-BE49-F238E27FC236}">
                  <a16:creationId xmlns:a16="http://schemas.microsoft.com/office/drawing/2014/main" id="{00000000-0008-0000-0100-00006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57" name="Control 109" hidden="1">
              <a:extLst>
                <a:ext uri="{63B3BB69-23CF-44E3-9099-C40C66FF867C}">
                  <a14:compatExt spid="_x0000_s2157"/>
                </a:ext>
                <a:ext uri="{FF2B5EF4-FFF2-40B4-BE49-F238E27FC236}">
                  <a16:creationId xmlns:a16="http://schemas.microsoft.com/office/drawing/2014/main" id="{00000000-0008-0000-0100-00006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58" name="Control 110" hidden="1">
              <a:extLst>
                <a:ext uri="{63B3BB69-23CF-44E3-9099-C40C66FF867C}">
                  <a14:compatExt spid="_x0000_s2158"/>
                </a:ext>
                <a:ext uri="{FF2B5EF4-FFF2-40B4-BE49-F238E27FC236}">
                  <a16:creationId xmlns:a16="http://schemas.microsoft.com/office/drawing/2014/main" id="{00000000-0008-0000-0100-00006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59" name="Control 111" hidden="1">
              <a:extLst>
                <a:ext uri="{63B3BB69-23CF-44E3-9099-C40C66FF867C}">
                  <a14:compatExt spid="_x0000_s2159"/>
                </a:ext>
                <a:ext uri="{FF2B5EF4-FFF2-40B4-BE49-F238E27FC236}">
                  <a16:creationId xmlns:a16="http://schemas.microsoft.com/office/drawing/2014/main" id="{00000000-0008-0000-0100-00006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17</xdr:row>
          <xdr:rowOff>30480</xdr:rowOff>
        </xdr:from>
        <xdr:to>
          <xdr:col>9</xdr:col>
          <xdr:colOff>716280</xdr:colOff>
          <xdr:row>18</xdr:row>
          <xdr:rowOff>7620</xdr:rowOff>
        </xdr:to>
        <xdr:sp macro="" textlink="">
          <xdr:nvSpPr>
            <xdr:cNvPr id="2160" name="Control 112" hidden="1">
              <a:extLst>
                <a:ext uri="{63B3BB69-23CF-44E3-9099-C40C66FF867C}">
                  <a14:compatExt spid="_x0000_s2160"/>
                </a:ext>
                <a:ext uri="{FF2B5EF4-FFF2-40B4-BE49-F238E27FC236}">
                  <a16:creationId xmlns:a16="http://schemas.microsoft.com/office/drawing/2014/main" id="{00000000-0008-0000-0100-00007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84" Type="http://schemas.openxmlformats.org/officeDocument/2006/relationships/ctrlProp" Target="../ctrlProps/ctrlProp81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6" Type="http://schemas.openxmlformats.org/officeDocument/2006/relationships/ctrlProp" Target="../ctrlProps/ctrlProp13.xml"/><Relationship Id="rId107" Type="http://schemas.openxmlformats.org/officeDocument/2006/relationships/ctrlProp" Target="../ctrlProps/ctrlProp104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5" Type="http://schemas.openxmlformats.org/officeDocument/2006/relationships/ctrlProp" Target="../ctrlProps/ctrlProp2.xml"/><Relationship Id="rId90" Type="http://schemas.openxmlformats.org/officeDocument/2006/relationships/ctrlProp" Target="../ctrlProps/ctrlProp87.xml"/><Relationship Id="rId95" Type="http://schemas.openxmlformats.org/officeDocument/2006/relationships/ctrlProp" Target="../ctrlProps/ctrlProp92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113" Type="http://schemas.openxmlformats.org/officeDocument/2006/relationships/ctrlProp" Target="../ctrlProps/ctrlProp110.xml"/><Relationship Id="rId80" Type="http://schemas.openxmlformats.org/officeDocument/2006/relationships/ctrlProp" Target="../ctrlProps/ctrlProp77.xml"/><Relationship Id="rId85" Type="http://schemas.openxmlformats.org/officeDocument/2006/relationships/ctrlProp" Target="../ctrlProps/ctrlProp82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59" Type="http://schemas.openxmlformats.org/officeDocument/2006/relationships/ctrlProp" Target="../ctrlProps/ctrlProp56.xml"/><Relationship Id="rId103" Type="http://schemas.openxmlformats.org/officeDocument/2006/relationships/ctrlProp" Target="../ctrlProps/ctrlProp100.xml"/><Relationship Id="rId108" Type="http://schemas.openxmlformats.org/officeDocument/2006/relationships/ctrlProp" Target="../ctrlProps/ctrlProp105.xml"/><Relationship Id="rId54" Type="http://schemas.openxmlformats.org/officeDocument/2006/relationships/ctrlProp" Target="../ctrlProps/ctrlProp51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91" Type="http://schemas.openxmlformats.org/officeDocument/2006/relationships/ctrlProp" Target="../ctrlProps/ctrlProp88.xml"/><Relationship Id="rId96" Type="http://schemas.openxmlformats.org/officeDocument/2006/relationships/ctrlProp" Target="../ctrlProps/ctrlProp93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6" Type="http://schemas.openxmlformats.org/officeDocument/2006/relationships/ctrlProp" Target="../ctrlProps/ctrlProp103.xml"/><Relationship Id="rId114" Type="http://schemas.openxmlformats.org/officeDocument/2006/relationships/ctrlProp" Target="../ctrlProps/ctrlProp111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94" Type="http://schemas.openxmlformats.org/officeDocument/2006/relationships/ctrlProp" Target="../ctrlProps/ctrlProp91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109" Type="http://schemas.openxmlformats.org/officeDocument/2006/relationships/ctrlProp" Target="../ctrlProps/ctrlProp10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97" Type="http://schemas.openxmlformats.org/officeDocument/2006/relationships/ctrlProp" Target="../ctrlProps/ctrlProp94.xml"/><Relationship Id="rId104" Type="http://schemas.openxmlformats.org/officeDocument/2006/relationships/ctrlProp" Target="../ctrlProps/ctrlProp101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" Type="http://schemas.openxmlformats.org/officeDocument/2006/relationships/drawing" Target="../drawings/drawing2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105" Type="http://schemas.openxmlformats.org/officeDocument/2006/relationships/ctrlProp" Target="../ctrlProps/ctrlProp102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98" Type="http://schemas.openxmlformats.org/officeDocument/2006/relationships/ctrlProp" Target="../ctrlProps/ctrlProp95.xml"/><Relationship Id="rId3" Type="http://schemas.openxmlformats.org/officeDocument/2006/relationships/vmlDrawing" Target="../drawings/vmlDrawing1.vml"/><Relationship Id="rId25" Type="http://schemas.openxmlformats.org/officeDocument/2006/relationships/ctrlProp" Target="../ctrlProps/ctrlProp22.xml"/><Relationship Id="rId46" Type="http://schemas.openxmlformats.org/officeDocument/2006/relationships/ctrlProp" Target="../ctrlProps/ctrlProp43.xml"/><Relationship Id="rId67" Type="http://schemas.openxmlformats.org/officeDocument/2006/relationships/ctrlProp" Target="../ctrlProps/ctrlProp6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62" Type="http://schemas.openxmlformats.org/officeDocument/2006/relationships/ctrlProp" Target="../ctrlProps/ctrlProp59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111" Type="http://schemas.openxmlformats.org/officeDocument/2006/relationships/ctrlProp" Target="../ctrlProps/ctrlProp10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77"/>
  <sheetViews>
    <sheetView tabSelected="1" topLeftCell="A35" workbookViewId="0">
      <selection activeCell="O65" sqref="O65"/>
    </sheetView>
  </sheetViews>
  <sheetFormatPr defaultRowHeight="13.2" x14ac:dyDescent="0.25"/>
  <cols>
    <col min="3" max="6" width="6.6640625" customWidth="1"/>
    <col min="7" max="11" width="12.6640625" customWidth="1"/>
    <col min="12" max="12" width="14.109375" customWidth="1"/>
    <col min="13" max="13" width="3.33203125" customWidth="1"/>
  </cols>
  <sheetData>
    <row r="1" spans="1:15" ht="18.75" customHeight="1" x14ac:dyDescent="0.25"/>
    <row r="2" spans="1:15" hidden="1" x14ac:dyDescent="0.25"/>
    <row r="3" spans="1:15" ht="15.6" x14ac:dyDescent="0.25">
      <c r="A3" s="13"/>
      <c r="B3" s="7"/>
      <c r="C3" s="7"/>
      <c r="D3" s="7"/>
      <c r="E3" s="7"/>
      <c r="F3" s="7"/>
      <c r="G3" s="7"/>
      <c r="H3" s="1"/>
      <c r="I3" s="210" t="s">
        <v>75</v>
      </c>
      <c r="J3" s="210"/>
      <c r="K3" s="207" t="str">
        <f>QUADRO!I5</f>
        <v>AZ25-152</v>
      </c>
      <c r="L3" s="207"/>
      <c r="M3" s="1"/>
    </row>
    <row r="4" spans="1:15" x14ac:dyDescent="0.25">
      <c r="A4" s="14"/>
      <c r="B4" s="7"/>
      <c r="C4" s="7"/>
      <c r="D4" s="7"/>
      <c r="E4" s="7"/>
      <c r="F4" s="7"/>
      <c r="G4" s="7"/>
      <c r="H4" s="1" t="s">
        <v>1</v>
      </c>
      <c r="I4" s="203" t="s">
        <v>76</v>
      </c>
      <c r="J4" s="203"/>
      <c r="K4" s="4"/>
      <c r="L4" s="4"/>
      <c r="M4" s="1"/>
    </row>
    <row r="5" spans="1:15" ht="17.25" customHeight="1" x14ac:dyDescent="0.25">
      <c r="A5" s="14"/>
      <c r="B5" s="7"/>
      <c r="C5" s="7"/>
      <c r="D5" s="7"/>
      <c r="E5" s="7"/>
      <c r="F5" s="7"/>
      <c r="G5" s="7"/>
      <c r="H5" s="1"/>
      <c r="I5" s="8"/>
      <c r="J5" s="4"/>
      <c r="K5" s="4"/>
      <c r="L5" s="4"/>
      <c r="M5" s="1"/>
    </row>
    <row r="6" spans="1:15" ht="21" customHeight="1" x14ac:dyDescent="0.25">
      <c r="A6" s="208" t="s">
        <v>67</v>
      </c>
      <c r="B6" s="208"/>
      <c r="C6" s="208"/>
      <c r="D6" s="208"/>
      <c r="E6" s="208"/>
      <c r="F6" s="208"/>
      <c r="G6" s="208"/>
      <c r="H6" s="208"/>
      <c r="I6" s="208"/>
      <c r="J6" s="208"/>
      <c r="K6" s="208"/>
      <c r="L6" s="208"/>
      <c r="M6" s="6"/>
    </row>
    <row r="7" spans="1:15" x14ac:dyDescent="0.25">
      <c r="A7" s="203" t="s">
        <v>2</v>
      </c>
      <c r="B7" s="203"/>
      <c r="C7" s="203"/>
      <c r="D7" s="203"/>
      <c r="E7" s="203"/>
      <c r="F7" s="203"/>
      <c r="G7" s="203"/>
      <c r="H7" s="203"/>
      <c r="I7" s="203"/>
      <c r="J7" s="203"/>
      <c r="K7" s="203"/>
      <c r="L7" s="203"/>
      <c r="M7" s="4"/>
    </row>
    <row r="8" spans="1:15" ht="15" x14ac:dyDescent="0.25">
      <c r="A8" s="15"/>
      <c r="B8" s="209" t="s">
        <v>77</v>
      </c>
      <c r="C8" s="209"/>
      <c r="D8" s="209"/>
      <c r="E8" s="209"/>
      <c r="F8" s="209"/>
      <c r="G8" s="209"/>
      <c r="H8" s="209"/>
      <c r="I8" s="209"/>
      <c r="J8" s="209"/>
      <c r="K8" s="209"/>
      <c r="L8" s="15"/>
      <c r="M8" s="2"/>
    </row>
    <row r="9" spans="1:15" ht="1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5" s="24" customFormat="1" ht="12.9" customHeight="1" x14ac:dyDescent="0.25">
      <c r="A10" s="25" t="s">
        <v>3</v>
      </c>
      <c r="B10" s="25"/>
      <c r="C10" s="35" t="s">
        <v>4</v>
      </c>
      <c r="D10" s="37"/>
      <c r="E10" s="37"/>
      <c r="F10" s="37"/>
      <c r="G10" s="35" t="s">
        <v>5</v>
      </c>
      <c r="H10" s="36"/>
      <c r="I10" s="35" t="s">
        <v>6</v>
      </c>
      <c r="J10" s="36"/>
      <c r="K10" s="35" t="s">
        <v>7</v>
      </c>
      <c r="L10" s="36"/>
      <c r="M10" s="25"/>
      <c r="O10" s="24" t="s">
        <v>1</v>
      </c>
    </row>
    <row r="11" spans="1:15" s="46" customFormat="1" ht="9.9" customHeight="1" x14ac:dyDescent="0.25">
      <c r="A11" s="8" t="s">
        <v>8</v>
      </c>
      <c r="B11" s="8"/>
      <c r="C11" s="47" t="s">
        <v>9</v>
      </c>
      <c r="D11" s="8"/>
      <c r="E11" s="8"/>
      <c r="F11" s="8"/>
      <c r="G11" s="47" t="s">
        <v>10</v>
      </c>
      <c r="H11" s="48"/>
      <c r="I11" s="47" t="s">
        <v>11</v>
      </c>
      <c r="J11" s="48"/>
      <c r="K11" s="47" t="s">
        <v>12</v>
      </c>
      <c r="L11" s="48"/>
      <c r="M11" s="8"/>
    </row>
    <row r="12" spans="1:15" ht="15" x14ac:dyDescent="0.25">
      <c r="A12" s="3"/>
      <c r="B12" s="3"/>
      <c r="C12" s="138" t="str">
        <f>QUADRO!H7</f>
        <v>ZODIAC COASTAL</v>
      </c>
      <c r="D12" s="139"/>
      <c r="E12" s="211"/>
      <c r="F12" s="140"/>
      <c r="G12" s="138">
        <f>QUADRO!J7</f>
        <v>6</v>
      </c>
      <c r="H12" s="140"/>
      <c r="I12" s="196" t="str">
        <f>QUADRO!C7</f>
        <v>XDC7GB83B717</v>
      </c>
      <c r="J12" s="197"/>
      <c r="K12" s="196" t="str">
        <f>QUADRO!G79</f>
        <v>02-2017</v>
      </c>
      <c r="L12" s="197"/>
      <c r="M12" s="3"/>
    </row>
    <row r="13" spans="1:15" s="24" customFormat="1" ht="12.9" customHeight="1" x14ac:dyDescent="0.25">
      <c r="A13" s="25"/>
      <c r="B13" s="25"/>
      <c r="C13" s="35" t="s">
        <v>13</v>
      </c>
      <c r="D13" s="37"/>
      <c r="E13" s="42"/>
      <c r="F13" s="42"/>
      <c r="G13" s="35" t="s">
        <v>14</v>
      </c>
      <c r="H13" s="36"/>
      <c r="I13" s="35"/>
      <c r="J13" s="36"/>
      <c r="K13" s="35" t="s">
        <v>15</v>
      </c>
      <c r="L13" s="36"/>
      <c r="M13" s="25"/>
    </row>
    <row r="14" spans="1:15" s="31" customFormat="1" ht="9.9" customHeight="1" x14ac:dyDescent="0.2">
      <c r="A14" s="30"/>
      <c r="B14" s="30"/>
      <c r="C14" s="32" t="s">
        <v>16</v>
      </c>
      <c r="D14" s="30"/>
      <c r="E14" s="43"/>
      <c r="F14" s="43"/>
      <c r="G14" s="32" t="s">
        <v>17</v>
      </c>
      <c r="H14" s="33"/>
      <c r="I14" s="32"/>
      <c r="J14" s="33"/>
      <c r="K14" s="32" t="s">
        <v>18</v>
      </c>
      <c r="L14" s="33"/>
      <c r="M14" s="30"/>
    </row>
    <row r="15" spans="1:15" x14ac:dyDescent="0.25">
      <c r="A15" s="8"/>
      <c r="B15" s="8"/>
      <c r="C15" s="189" t="s">
        <v>305</v>
      </c>
      <c r="D15" s="149"/>
      <c r="E15" s="149"/>
      <c r="F15" s="150"/>
      <c r="G15" s="18">
        <v>10</v>
      </c>
      <c r="H15" s="12" t="s">
        <v>19</v>
      </c>
      <c r="I15" s="18">
        <v>1</v>
      </c>
      <c r="J15" s="12" t="s">
        <v>68</v>
      </c>
      <c r="K15" s="189">
        <v>5</v>
      </c>
      <c r="L15" s="150"/>
      <c r="M15" s="8"/>
    </row>
    <row r="16" spans="1:15" ht="15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3"/>
    </row>
    <row r="17" spans="1:13" s="24" customFormat="1" ht="12.9" customHeight="1" x14ac:dyDescent="0.25">
      <c r="A17" s="25" t="s">
        <v>20</v>
      </c>
      <c r="B17" s="26"/>
      <c r="C17" s="165" t="s">
        <v>6</v>
      </c>
      <c r="D17" s="165"/>
      <c r="E17" s="165"/>
      <c r="F17" s="26"/>
      <c r="G17" s="165" t="s">
        <v>21</v>
      </c>
      <c r="H17" s="165"/>
      <c r="I17" s="165" t="s">
        <v>22</v>
      </c>
      <c r="J17" s="165"/>
      <c r="K17" s="165" t="s">
        <v>23</v>
      </c>
      <c r="L17" s="165"/>
      <c r="M17" s="26"/>
    </row>
    <row r="18" spans="1:13" s="46" customFormat="1" ht="9.9" customHeight="1" x14ac:dyDescent="0.25">
      <c r="A18" s="8" t="s">
        <v>24</v>
      </c>
      <c r="B18" s="1"/>
      <c r="C18" s="203" t="s">
        <v>25</v>
      </c>
      <c r="D18" s="203"/>
      <c r="E18" s="203"/>
      <c r="F18" s="1"/>
      <c r="G18" s="203" t="s">
        <v>26</v>
      </c>
      <c r="H18" s="203"/>
      <c r="I18" s="203" t="s">
        <v>27</v>
      </c>
      <c r="J18" s="203"/>
      <c r="K18" s="203" t="s">
        <v>28</v>
      </c>
      <c r="L18" s="203"/>
      <c r="M18" s="1"/>
    </row>
    <row r="19" spans="1:13" ht="15" x14ac:dyDescent="0.25">
      <c r="A19" s="3"/>
      <c r="B19" s="3"/>
      <c r="C19" s="170" t="str">
        <f>QUADRO!I56</f>
        <v>Z6P005</v>
      </c>
      <c r="D19" s="171"/>
      <c r="E19" s="171"/>
      <c r="F19" s="172"/>
      <c r="G19" s="204">
        <f>QUADRO!I62</f>
        <v>2.2000000000000002</v>
      </c>
      <c r="H19" s="204"/>
      <c r="I19" s="204" t="str">
        <f>QUADRO!I64</f>
        <v>0,14</v>
      </c>
      <c r="J19" s="204"/>
      <c r="K19" s="205" t="str">
        <f>QUADRO!I66</f>
        <v>04/16</v>
      </c>
      <c r="L19" s="206"/>
      <c r="M19" s="3"/>
    </row>
    <row r="20" spans="1:13" ht="15" x14ac:dyDescent="0.25">
      <c r="A20" s="3"/>
      <c r="B20" s="3"/>
      <c r="C20" s="173"/>
      <c r="D20" s="171"/>
      <c r="E20" s="171"/>
      <c r="F20" s="172"/>
      <c r="G20" s="204"/>
      <c r="H20" s="204"/>
      <c r="I20" s="204"/>
      <c r="J20" s="204"/>
      <c r="K20" s="205"/>
      <c r="L20" s="206"/>
      <c r="M20" s="3"/>
    </row>
    <row r="21" spans="1:13" ht="15" x14ac:dyDescent="0.25">
      <c r="A21" s="3"/>
      <c r="B21" s="3"/>
      <c r="C21" s="174"/>
      <c r="D21" s="175"/>
      <c r="E21" s="175"/>
      <c r="F21" s="176"/>
      <c r="G21" s="202"/>
      <c r="H21" s="202"/>
      <c r="I21" s="202"/>
      <c r="J21" s="202"/>
      <c r="K21" s="202"/>
      <c r="L21" s="202"/>
      <c r="M21" s="3"/>
    </row>
    <row r="22" spans="1:13" ht="15" x14ac:dyDescent="0.25">
      <c r="A22" s="3"/>
      <c r="B22" s="3"/>
      <c r="C22" s="174"/>
      <c r="D22" s="175"/>
      <c r="E22" s="175"/>
      <c r="F22" s="176"/>
      <c r="G22" s="202"/>
      <c r="H22" s="202"/>
      <c r="I22" s="202"/>
      <c r="J22" s="202"/>
      <c r="K22" s="202"/>
      <c r="L22" s="202"/>
      <c r="M22" s="3"/>
    </row>
    <row r="23" spans="1:13" ht="15" x14ac:dyDescent="0.2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3"/>
    </row>
    <row r="24" spans="1:13" s="24" customFormat="1" ht="12.9" customHeight="1" x14ac:dyDescent="0.25">
      <c r="A24" s="25" t="s">
        <v>29</v>
      </c>
      <c r="B24" s="25"/>
      <c r="C24" s="165" t="s">
        <v>30</v>
      </c>
      <c r="D24" s="165"/>
      <c r="E24" s="165"/>
      <c r="F24" s="26"/>
      <c r="G24" s="165" t="s">
        <v>31</v>
      </c>
      <c r="H24" s="165"/>
      <c r="I24" s="165" t="s">
        <v>32</v>
      </c>
      <c r="J24" s="165"/>
      <c r="K24" s="165" t="s">
        <v>33</v>
      </c>
      <c r="L24" s="165"/>
      <c r="M24" s="25"/>
    </row>
    <row r="25" spans="1:13" s="46" customFormat="1" ht="9.75" customHeight="1" x14ac:dyDescent="0.25">
      <c r="A25" s="8" t="s">
        <v>81</v>
      </c>
      <c r="B25" s="8"/>
      <c r="C25" s="163"/>
      <c r="D25" s="163"/>
      <c r="E25" s="163"/>
      <c r="F25" s="8"/>
      <c r="G25" s="203" t="s">
        <v>34</v>
      </c>
      <c r="H25" s="203"/>
      <c r="I25" s="203" t="s">
        <v>25</v>
      </c>
      <c r="J25" s="203"/>
      <c r="K25" s="203" t="s">
        <v>35</v>
      </c>
      <c r="L25" s="203"/>
      <c r="M25" s="8"/>
    </row>
    <row r="26" spans="1:13" s="24" customFormat="1" ht="12.9" customHeight="1" x14ac:dyDescent="0.25">
      <c r="A26" s="25"/>
      <c r="B26" s="25"/>
      <c r="C26" s="180" t="s">
        <v>36</v>
      </c>
      <c r="D26" s="181"/>
      <c r="E26" s="181"/>
      <c r="F26" s="36"/>
      <c r="G26" s="193" t="str">
        <f>QUADRO!F47</f>
        <v>SIM</v>
      </c>
      <c r="H26" s="169"/>
      <c r="I26" s="194" t="str">
        <f>QUADRO!C7</f>
        <v>XDC7GB83B717</v>
      </c>
      <c r="J26" s="195"/>
      <c r="K26" s="198">
        <f>QUADRO!F81+365</f>
        <v>46203</v>
      </c>
      <c r="L26" s="199"/>
      <c r="M26" s="25"/>
    </row>
    <row r="27" spans="1:13" s="46" customFormat="1" ht="9.9" customHeight="1" x14ac:dyDescent="0.25">
      <c r="A27" s="8"/>
      <c r="B27" s="8"/>
      <c r="C27" s="186" t="s">
        <v>37</v>
      </c>
      <c r="D27" s="187"/>
      <c r="E27" s="187"/>
      <c r="F27" s="51"/>
      <c r="G27" s="138"/>
      <c r="H27" s="140"/>
      <c r="I27" s="196"/>
      <c r="J27" s="197"/>
      <c r="K27" s="200"/>
      <c r="L27" s="201"/>
      <c r="M27" s="8"/>
    </row>
    <row r="28" spans="1:13" s="24" customFormat="1" ht="12.9" customHeight="1" x14ac:dyDescent="0.25">
      <c r="A28" s="25"/>
      <c r="B28" s="25"/>
      <c r="C28" s="180" t="s">
        <v>38</v>
      </c>
      <c r="D28" s="181"/>
      <c r="E28" s="181"/>
      <c r="F28" s="36"/>
      <c r="G28" s="188"/>
      <c r="H28" s="166"/>
      <c r="I28" s="188"/>
      <c r="J28" s="166"/>
      <c r="K28" s="188"/>
      <c r="L28" s="166"/>
      <c r="M28" s="25"/>
    </row>
    <row r="29" spans="1:13" s="46" customFormat="1" ht="9.9" customHeight="1" x14ac:dyDescent="0.25">
      <c r="A29" s="8"/>
      <c r="B29" s="8"/>
      <c r="C29" s="186" t="s">
        <v>39</v>
      </c>
      <c r="D29" s="187"/>
      <c r="E29" s="187"/>
      <c r="F29" s="51"/>
      <c r="G29" s="190"/>
      <c r="H29" s="191"/>
      <c r="I29" s="190"/>
      <c r="J29" s="191"/>
      <c r="K29" s="190"/>
      <c r="L29" s="191"/>
      <c r="M29" s="8"/>
    </row>
    <row r="30" spans="1:13" s="24" customFormat="1" ht="12.9" customHeight="1" x14ac:dyDescent="0.25">
      <c r="A30" s="25"/>
      <c r="B30" s="25"/>
      <c r="C30" s="180" t="s">
        <v>40</v>
      </c>
      <c r="D30" s="181"/>
      <c r="E30" s="181"/>
      <c r="F30" s="36"/>
      <c r="G30" s="188"/>
      <c r="H30" s="166"/>
      <c r="I30" s="188"/>
      <c r="J30" s="166"/>
      <c r="K30" s="188"/>
      <c r="L30" s="166"/>
      <c r="M30" s="25"/>
    </row>
    <row r="31" spans="1:13" s="46" customFormat="1" ht="9.9" customHeight="1" x14ac:dyDescent="0.25">
      <c r="A31" s="8"/>
      <c r="B31" s="8"/>
      <c r="C31" s="186" t="s">
        <v>41</v>
      </c>
      <c r="D31" s="187"/>
      <c r="E31" s="187"/>
      <c r="F31" s="51"/>
      <c r="G31" s="190"/>
      <c r="H31" s="191"/>
      <c r="I31" s="190"/>
      <c r="J31" s="191"/>
      <c r="K31" s="190"/>
      <c r="L31" s="191"/>
      <c r="M31" s="8"/>
    </row>
    <row r="32" spans="1:13" s="24" customFormat="1" ht="12.9" customHeight="1" x14ac:dyDescent="0.25">
      <c r="A32" s="25"/>
      <c r="B32" s="25"/>
      <c r="C32" s="180" t="s">
        <v>42</v>
      </c>
      <c r="D32" s="181"/>
      <c r="E32" s="181"/>
      <c r="F32" s="36"/>
      <c r="G32" s="188"/>
      <c r="H32" s="148"/>
      <c r="I32" s="188"/>
      <c r="J32" s="166"/>
      <c r="K32" s="188" t="s">
        <v>1</v>
      </c>
      <c r="L32" s="166"/>
      <c r="M32" s="25"/>
    </row>
    <row r="33" spans="1:13" s="46" customFormat="1" ht="9.9" customHeight="1" x14ac:dyDescent="0.25">
      <c r="A33" s="8"/>
      <c r="B33" s="8"/>
      <c r="C33" s="186" t="s">
        <v>43</v>
      </c>
      <c r="D33" s="187"/>
      <c r="E33" s="187"/>
      <c r="F33" s="51"/>
      <c r="G33" s="189"/>
      <c r="H33" s="150"/>
      <c r="I33" s="190"/>
      <c r="J33" s="191"/>
      <c r="K33" s="190"/>
      <c r="L33" s="191"/>
      <c r="M33" s="8"/>
    </row>
    <row r="34" spans="1:13" s="24" customFormat="1" ht="12.75" customHeight="1" x14ac:dyDescent="0.25">
      <c r="A34" s="25"/>
      <c r="B34" s="25"/>
      <c r="C34" s="180" t="s">
        <v>44</v>
      </c>
      <c r="D34" s="181"/>
      <c r="E34" s="181"/>
      <c r="F34" s="36"/>
      <c r="G34" s="188" t="s">
        <v>301</v>
      </c>
      <c r="H34" s="166"/>
      <c r="I34" s="188" t="s">
        <v>300</v>
      </c>
      <c r="J34" s="166"/>
      <c r="K34" s="182" t="str">
        <f>QUADRO!J13</f>
        <v>08/2027</v>
      </c>
      <c r="L34" s="183"/>
      <c r="M34" s="25"/>
    </row>
    <row r="35" spans="1:13" s="46" customFormat="1" ht="9.9" customHeight="1" x14ac:dyDescent="0.25">
      <c r="A35" s="8"/>
      <c r="B35" s="8"/>
      <c r="C35" s="186" t="s">
        <v>45</v>
      </c>
      <c r="D35" s="187"/>
      <c r="E35" s="187"/>
      <c r="F35" s="51"/>
      <c r="G35" s="190"/>
      <c r="H35" s="191"/>
      <c r="I35" s="190"/>
      <c r="J35" s="191"/>
      <c r="K35" s="184"/>
      <c r="L35" s="185"/>
      <c r="M35" s="8"/>
    </row>
    <row r="36" spans="1:13" ht="12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25">
      <c r="A37" s="17"/>
      <c r="B37" s="17"/>
      <c r="C37" s="192"/>
      <c r="D37" s="192"/>
      <c r="E37" s="192"/>
      <c r="F37" s="19"/>
      <c r="G37" s="192"/>
      <c r="H37" s="192"/>
      <c r="I37" s="192"/>
      <c r="J37" s="192"/>
      <c r="K37" s="192"/>
      <c r="L37" s="192"/>
      <c r="M37" s="5"/>
    </row>
    <row r="38" spans="1:13" s="24" customFormat="1" ht="12.9" customHeight="1" x14ac:dyDescent="0.25">
      <c r="A38" s="25" t="s">
        <v>46</v>
      </c>
      <c r="B38" s="25"/>
      <c r="C38" s="165" t="s">
        <v>47</v>
      </c>
      <c r="D38" s="165"/>
      <c r="E38" s="165"/>
      <c r="F38" s="26"/>
      <c r="G38" s="165" t="s">
        <v>48</v>
      </c>
      <c r="H38" s="165"/>
      <c r="I38" s="165" t="s">
        <v>49</v>
      </c>
      <c r="J38" s="165"/>
      <c r="K38" s="165" t="s">
        <v>50</v>
      </c>
      <c r="L38" s="165"/>
      <c r="M38" s="25"/>
    </row>
    <row r="39" spans="1:13" s="46" customFormat="1" ht="9.9" customHeight="1" x14ac:dyDescent="0.25">
      <c r="A39" s="8" t="s">
        <v>51</v>
      </c>
      <c r="B39" s="8"/>
      <c r="C39" s="1"/>
      <c r="D39" s="1"/>
      <c r="E39" s="1"/>
      <c r="F39" s="1"/>
      <c r="G39" s="1"/>
      <c r="H39" s="1"/>
      <c r="I39" s="1"/>
      <c r="J39" s="1"/>
      <c r="K39" s="1"/>
      <c r="L39" s="1"/>
      <c r="M39" s="8"/>
    </row>
    <row r="40" spans="1:13" s="24" customFormat="1" ht="12.9" customHeight="1" x14ac:dyDescent="0.25">
      <c r="A40" s="25"/>
      <c r="B40" s="27"/>
      <c r="C40" s="35" t="s">
        <v>52</v>
      </c>
      <c r="D40" s="37"/>
      <c r="E40" s="147" t="s">
        <v>304</v>
      </c>
      <c r="F40" s="148"/>
      <c r="G40" s="35" t="s">
        <v>52</v>
      </c>
      <c r="H40" s="166" t="s">
        <v>304</v>
      </c>
      <c r="I40" s="35" t="s">
        <v>73</v>
      </c>
      <c r="J40" s="166" t="s">
        <v>304</v>
      </c>
      <c r="K40" s="35" t="s">
        <v>52</v>
      </c>
      <c r="L40" s="166" t="s">
        <v>300</v>
      </c>
      <c r="M40" s="27"/>
    </row>
    <row r="41" spans="1:13" s="46" customFormat="1" ht="9.9" customHeight="1" x14ac:dyDescent="0.25">
      <c r="A41" s="8"/>
      <c r="B41" s="8"/>
      <c r="C41" s="49" t="s">
        <v>53</v>
      </c>
      <c r="D41" s="50"/>
      <c r="E41" s="149"/>
      <c r="F41" s="150"/>
      <c r="G41" s="49" t="s">
        <v>53</v>
      </c>
      <c r="H41" s="150"/>
      <c r="I41" s="49" t="s">
        <v>53</v>
      </c>
      <c r="J41" s="150"/>
      <c r="K41" s="49" t="s">
        <v>53</v>
      </c>
      <c r="L41" s="150"/>
      <c r="M41" s="8"/>
    </row>
    <row r="42" spans="1:13" s="24" customFormat="1" ht="12.9" customHeight="1" x14ac:dyDescent="0.25">
      <c r="A42" s="23"/>
      <c r="B42" s="23"/>
      <c r="C42" s="35" t="s">
        <v>54</v>
      </c>
      <c r="D42" s="37"/>
      <c r="E42" s="168"/>
      <c r="F42" s="169"/>
      <c r="G42" s="35" t="s">
        <v>54</v>
      </c>
      <c r="H42" s="167"/>
      <c r="I42" s="35" t="s">
        <v>54</v>
      </c>
      <c r="J42" s="167"/>
      <c r="K42" s="35" t="s">
        <v>54</v>
      </c>
      <c r="L42" s="167" t="str">
        <f>QUADRO!J53</f>
        <v xml:space="preserve"> </v>
      </c>
      <c r="M42" s="23"/>
    </row>
    <row r="43" spans="1:13" s="46" customFormat="1" ht="9.9" customHeight="1" x14ac:dyDescent="0.25">
      <c r="A43" s="1"/>
      <c r="B43" s="1"/>
      <c r="C43" s="49" t="s">
        <v>55</v>
      </c>
      <c r="D43" s="50"/>
      <c r="E43" s="139"/>
      <c r="F43" s="140"/>
      <c r="G43" s="49" t="s">
        <v>55</v>
      </c>
      <c r="H43" s="140"/>
      <c r="I43" s="49" t="s">
        <v>55</v>
      </c>
      <c r="J43" s="140"/>
      <c r="K43" s="49" t="s">
        <v>55</v>
      </c>
      <c r="L43" s="140"/>
      <c r="M43" s="1"/>
    </row>
    <row r="44" spans="1:13" ht="15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s="24" customFormat="1" ht="12.9" customHeight="1" x14ac:dyDescent="0.25">
      <c r="A45" s="25" t="s">
        <v>56</v>
      </c>
      <c r="B45" s="25"/>
      <c r="C45" s="35" t="s">
        <v>57</v>
      </c>
      <c r="D45" s="37"/>
      <c r="E45" s="37"/>
      <c r="F45" s="37"/>
      <c r="G45" s="35" t="s">
        <v>58</v>
      </c>
      <c r="H45" s="37"/>
      <c r="I45" s="37"/>
      <c r="J45" s="36"/>
      <c r="K45" s="35" t="s">
        <v>59</v>
      </c>
      <c r="L45" s="36"/>
      <c r="M45" s="25"/>
    </row>
    <row r="46" spans="1:13" s="46" customFormat="1" ht="9.9" customHeight="1" x14ac:dyDescent="0.25">
      <c r="A46" s="8" t="s">
        <v>60</v>
      </c>
      <c r="B46" s="8"/>
      <c r="C46" s="47" t="s">
        <v>61</v>
      </c>
      <c r="D46" s="8"/>
      <c r="E46" s="8"/>
      <c r="F46" s="8"/>
      <c r="G46" s="47" t="s">
        <v>62</v>
      </c>
      <c r="H46" s="8"/>
      <c r="I46" s="8"/>
      <c r="J46" s="48"/>
      <c r="K46" s="47" t="s">
        <v>63</v>
      </c>
      <c r="L46" s="48"/>
      <c r="M46" s="8"/>
    </row>
    <row r="47" spans="1:13" ht="15" x14ac:dyDescent="0.25">
      <c r="A47" s="2"/>
      <c r="B47" s="2"/>
      <c r="C47" s="142">
        <f>QUADRO!F81</f>
        <v>45838</v>
      </c>
      <c r="D47" s="151"/>
      <c r="E47" s="151"/>
      <c r="F47" s="152"/>
      <c r="G47" s="138" t="str">
        <f>QUADRO!C81</f>
        <v xml:space="preserve">OREY TÉCNICA </v>
      </c>
      <c r="H47" s="139"/>
      <c r="I47" s="139"/>
      <c r="J47" s="140"/>
      <c r="K47" s="142">
        <f>C47+365</f>
        <v>46203</v>
      </c>
      <c r="L47" s="140"/>
      <c r="M47" s="2"/>
    </row>
    <row r="48" spans="1:13" ht="15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s="24" customFormat="1" ht="12.9" customHeight="1" x14ac:dyDescent="0.25">
      <c r="A49" s="23"/>
      <c r="B49" s="23"/>
      <c r="C49" s="177" t="s">
        <v>78</v>
      </c>
      <c r="D49" s="178"/>
      <c r="E49" s="178"/>
      <c r="F49" s="53" t="s">
        <v>85</v>
      </c>
      <c r="G49" s="54"/>
      <c r="H49" s="54"/>
      <c r="I49" s="39"/>
      <c r="J49" s="39"/>
      <c r="K49" s="39"/>
      <c r="L49" s="38"/>
      <c r="M49" s="23"/>
    </row>
    <row r="50" spans="1:13" ht="14.25" customHeight="1" x14ac:dyDescent="0.25">
      <c r="A50" s="4"/>
      <c r="B50" s="4"/>
      <c r="C50" s="179" t="s">
        <v>79</v>
      </c>
      <c r="D50" s="162"/>
      <c r="E50" s="162"/>
      <c r="F50" s="153"/>
      <c r="G50" s="154"/>
      <c r="H50" s="154"/>
      <c r="I50" s="154"/>
      <c r="J50" s="154"/>
      <c r="K50" s="154"/>
      <c r="L50" s="155"/>
      <c r="M50" s="4"/>
    </row>
    <row r="51" spans="1:13" ht="12.75" customHeight="1" x14ac:dyDescent="0.25">
      <c r="A51" s="4"/>
      <c r="B51" s="4"/>
      <c r="C51" s="143"/>
      <c r="D51" s="144"/>
      <c r="E51" s="144"/>
      <c r="F51" s="153"/>
      <c r="G51" s="154"/>
      <c r="H51" s="154"/>
      <c r="I51" s="154"/>
      <c r="J51" s="154"/>
      <c r="K51" s="154"/>
      <c r="L51" s="155"/>
      <c r="M51" s="4"/>
    </row>
    <row r="52" spans="1:13" ht="15" customHeight="1" x14ac:dyDescent="0.25">
      <c r="A52" s="2"/>
      <c r="B52" s="2"/>
      <c r="C52" s="145"/>
      <c r="D52" s="146"/>
      <c r="E52" s="146"/>
      <c r="F52" s="156"/>
      <c r="G52" s="157"/>
      <c r="H52" s="157"/>
      <c r="I52" s="157"/>
      <c r="J52" s="157"/>
      <c r="K52" s="157"/>
      <c r="L52" s="158"/>
      <c r="M52" s="2"/>
    </row>
    <row r="53" spans="1:13" ht="4.5" customHeight="1" x14ac:dyDescent="0.25">
      <c r="A53" s="2"/>
      <c r="B53" s="2"/>
      <c r="C53" s="4"/>
      <c r="D53" s="4"/>
      <c r="E53" s="4"/>
      <c r="F53" s="4"/>
      <c r="G53" s="4"/>
      <c r="H53" s="4"/>
      <c r="I53" s="4"/>
      <c r="J53" s="4"/>
      <c r="K53" s="4"/>
      <c r="L53" s="4"/>
      <c r="M53" s="2"/>
    </row>
    <row r="54" spans="1:13" ht="15" x14ac:dyDescent="0.25">
      <c r="A54" s="2"/>
      <c r="B54" s="159" t="s">
        <v>80</v>
      </c>
      <c r="C54" s="159"/>
      <c r="D54" s="159"/>
      <c r="E54" s="159"/>
      <c r="F54" s="159"/>
      <c r="G54" s="159"/>
      <c r="H54" s="159"/>
      <c r="I54" s="159"/>
      <c r="J54" s="159"/>
      <c r="K54" s="159"/>
      <c r="L54" s="159"/>
      <c r="M54" s="2"/>
    </row>
    <row r="55" spans="1:13" ht="15" x14ac:dyDescent="0.25">
      <c r="A55" s="2"/>
      <c r="B55" s="203" t="s">
        <v>82</v>
      </c>
      <c r="C55" s="203"/>
      <c r="D55" s="203"/>
      <c r="E55" s="203"/>
      <c r="F55" s="203"/>
      <c r="G55" s="203"/>
      <c r="H55" s="203"/>
      <c r="I55" s="203"/>
      <c r="J55" s="203"/>
      <c r="K55" s="203"/>
      <c r="L55" s="203"/>
      <c r="M55" s="2"/>
    </row>
    <row r="56" spans="1:13" ht="15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s="24" customFormat="1" ht="14.1" customHeight="1" x14ac:dyDescent="0.25">
      <c r="A57" s="162" t="s">
        <v>86</v>
      </c>
      <c r="B57" s="162"/>
      <c r="C57" s="22"/>
      <c r="D57" s="213" t="s">
        <v>325</v>
      </c>
      <c r="E57" s="213"/>
      <c r="F57" s="44"/>
      <c r="G57" s="28"/>
      <c r="H57" s="27"/>
      <c r="I57" s="23"/>
      <c r="J57" s="23"/>
      <c r="K57" s="23"/>
      <c r="L57" s="23"/>
      <c r="M57" s="23"/>
    </row>
    <row r="58" spans="1:13" s="46" customFormat="1" ht="9.9" customHeight="1" x14ac:dyDescent="0.25">
      <c r="A58" s="163" t="s">
        <v>64</v>
      </c>
      <c r="B58" s="163"/>
      <c r="C58" s="22"/>
      <c r="D58" s="213"/>
      <c r="E58" s="213"/>
      <c r="F58" s="44"/>
      <c r="G58" s="10"/>
      <c r="H58" s="8"/>
      <c r="I58" s="1"/>
      <c r="J58" s="1"/>
      <c r="K58" s="1"/>
      <c r="L58" s="1"/>
      <c r="M58" s="1"/>
    </row>
    <row r="59" spans="1:13" s="24" customFormat="1" ht="14.1" customHeight="1" x14ac:dyDescent="0.25">
      <c r="A59" s="162" t="s">
        <v>65</v>
      </c>
      <c r="B59" s="162"/>
      <c r="C59" s="41" t="s">
        <v>1</v>
      </c>
      <c r="D59" s="214"/>
      <c r="E59" s="214"/>
      <c r="F59" s="45"/>
      <c r="G59" s="28"/>
      <c r="H59" s="27"/>
      <c r="I59" s="161" t="s">
        <v>74</v>
      </c>
      <c r="J59" s="161"/>
      <c r="K59" s="161"/>
      <c r="L59" s="161"/>
      <c r="M59" s="23"/>
    </row>
    <row r="60" spans="1:13" ht="9.75" customHeight="1" x14ac:dyDescent="0.25">
      <c r="A60" s="164"/>
      <c r="B60" s="164"/>
      <c r="C60" s="41"/>
      <c r="D60" s="214"/>
      <c r="E60" s="214"/>
      <c r="F60" s="45"/>
      <c r="G60" s="11"/>
      <c r="H60" s="3"/>
      <c r="I60" s="141" t="s">
        <v>84</v>
      </c>
      <c r="J60" s="141"/>
      <c r="K60" s="141"/>
      <c r="L60" s="141"/>
      <c r="M60" s="2"/>
    </row>
    <row r="61" spans="1:13" s="24" customFormat="1" ht="14.1" customHeight="1" x14ac:dyDescent="0.25">
      <c r="A61" s="40" t="s">
        <v>87</v>
      </c>
      <c r="B61" s="40"/>
      <c r="C61" s="22"/>
      <c r="D61" s="213"/>
      <c r="E61" s="213"/>
      <c r="F61" s="44"/>
      <c r="G61" s="28"/>
      <c r="H61" s="27"/>
      <c r="I61" s="23"/>
      <c r="J61" s="23"/>
      <c r="K61" s="23"/>
      <c r="L61" s="23"/>
      <c r="M61" s="23"/>
    </row>
    <row r="62" spans="1:13" s="46" customFormat="1" ht="9.9" customHeight="1" x14ac:dyDescent="0.25">
      <c r="A62" s="163" t="s">
        <v>66</v>
      </c>
      <c r="B62" s="163"/>
      <c r="C62" s="22"/>
      <c r="D62" s="213"/>
      <c r="E62" s="213"/>
      <c r="F62" s="44"/>
      <c r="G62" s="10"/>
      <c r="H62" s="8"/>
      <c r="I62" s="1"/>
      <c r="J62" s="1"/>
      <c r="K62" s="1"/>
      <c r="L62" s="1"/>
      <c r="M62" s="1"/>
    </row>
    <row r="63" spans="1:13" s="24" customFormat="1" ht="14.1" customHeight="1" x14ac:dyDescent="0.25">
      <c r="A63" s="162" t="s">
        <v>72</v>
      </c>
      <c r="B63" s="162"/>
      <c r="C63" s="22"/>
      <c r="D63" s="215" t="str">
        <f>QUADRO!E7</f>
        <v>ILHEU AZUL</v>
      </c>
      <c r="E63" s="215"/>
      <c r="F63" s="215"/>
      <c r="G63" s="215"/>
      <c r="H63" s="29"/>
      <c r="I63" s="23"/>
      <c r="J63" s="23"/>
      <c r="K63" s="23"/>
      <c r="L63" s="23"/>
      <c r="M63" s="23"/>
    </row>
    <row r="64" spans="1:13" s="46" customFormat="1" ht="9.9" customHeight="1" x14ac:dyDescent="0.25">
      <c r="A64" s="163" t="s">
        <v>71</v>
      </c>
      <c r="B64" s="163"/>
      <c r="C64" s="22"/>
      <c r="D64" s="215"/>
      <c r="E64" s="215"/>
      <c r="F64" s="215"/>
      <c r="G64" s="215"/>
      <c r="H64" s="34"/>
      <c r="I64" s="1"/>
      <c r="J64" s="1"/>
      <c r="K64" s="1"/>
      <c r="L64" s="1"/>
      <c r="M64" s="1"/>
    </row>
    <row r="65" spans="1:13" s="24" customFormat="1" ht="14.1" customHeight="1" x14ac:dyDescent="0.25">
      <c r="A65" s="162" t="s">
        <v>69</v>
      </c>
      <c r="B65" s="162"/>
      <c r="C65" s="22"/>
      <c r="D65" s="213" t="s">
        <v>323</v>
      </c>
      <c r="E65" s="213"/>
      <c r="F65" s="213"/>
      <c r="G65" s="213"/>
      <c r="H65" s="213"/>
      <c r="I65" s="213"/>
      <c r="J65" s="160"/>
      <c r="K65" s="160"/>
      <c r="L65" s="23"/>
      <c r="M65" s="23"/>
    </row>
    <row r="66" spans="1:13" s="46" customFormat="1" ht="9.9" customHeight="1" x14ac:dyDescent="0.25">
      <c r="A66" s="163" t="s">
        <v>70</v>
      </c>
      <c r="B66" s="163"/>
      <c r="C66" s="22"/>
      <c r="D66" s="213"/>
      <c r="E66" s="213"/>
      <c r="F66" s="213"/>
      <c r="G66" s="213"/>
      <c r="H66" s="213"/>
      <c r="I66" s="213"/>
      <c r="J66" s="203" t="s">
        <v>0</v>
      </c>
      <c r="K66" s="203"/>
      <c r="L66" s="1"/>
      <c r="M66" s="1"/>
    </row>
    <row r="67" spans="1:13" ht="13.5" customHeight="1" x14ac:dyDescent="0.25">
      <c r="A67" s="9"/>
      <c r="B67" s="2"/>
      <c r="C67" s="20"/>
      <c r="D67" s="20"/>
      <c r="E67" s="21"/>
      <c r="F67" s="21"/>
      <c r="G67" s="21"/>
      <c r="H67" s="21"/>
      <c r="I67" s="2"/>
      <c r="J67" s="2"/>
      <c r="K67" s="2"/>
      <c r="L67" s="2"/>
      <c r="M67" s="2"/>
    </row>
    <row r="68" spans="1:13" x14ac:dyDescent="0.25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</row>
    <row r="69" spans="1:13" x14ac:dyDescent="0.25">
      <c r="A69" s="212" t="s">
        <v>310</v>
      </c>
      <c r="B69" s="212"/>
      <c r="C69" s="212"/>
      <c r="D69" s="212"/>
      <c r="E69" s="212"/>
      <c r="F69" s="212"/>
      <c r="G69" s="212"/>
      <c r="H69" s="212"/>
      <c r="I69" s="212"/>
      <c r="J69" s="212"/>
      <c r="K69" s="212"/>
      <c r="L69" s="212"/>
    </row>
    <row r="70" spans="1:13" x14ac:dyDescent="0.25">
      <c r="A70" s="212"/>
      <c r="B70" s="212"/>
      <c r="C70" s="212"/>
      <c r="D70" s="212"/>
      <c r="E70" s="212"/>
      <c r="F70" s="212"/>
      <c r="G70" s="212"/>
      <c r="H70" s="212"/>
      <c r="I70" s="212"/>
      <c r="J70" s="212"/>
      <c r="K70" s="212"/>
      <c r="L70" s="212"/>
    </row>
    <row r="71" spans="1:13" x14ac:dyDescent="0.25">
      <c r="A71" s="212"/>
      <c r="B71" s="212"/>
      <c r="C71" s="212"/>
      <c r="D71" s="212"/>
      <c r="E71" s="212"/>
      <c r="F71" s="212"/>
      <c r="G71" s="212"/>
      <c r="H71" s="212"/>
      <c r="I71" s="212"/>
      <c r="J71" s="212"/>
      <c r="K71" s="212"/>
      <c r="L71" s="212"/>
    </row>
    <row r="72" spans="1:13" x14ac:dyDescent="0.25">
      <c r="A72" s="212"/>
      <c r="B72" s="212"/>
      <c r="C72" s="212"/>
      <c r="D72" s="212"/>
      <c r="E72" s="212"/>
      <c r="F72" s="212"/>
      <c r="G72" s="212"/>
      <c r="H72" s="212"/>
      <c r="I72" s="212"/>
      <c r="J72" s="212"/>
      <c r="K72" s="212"/>
      <c r="L72" s="212"/>
    </row>
    <row r="73" spans="1:13" x14ac:dyDescent="0.25">
      <c r="A73" s="212"/>
      <c r="B73" s="212"/>
      <c r="C73" s="212"/>
      <c r="D73" s="212"/>
      <c r="E73" s="212"/>
      <c r="F73" s="212"/>
      <c r="G73" s="212"/>
      <c r="H73" s="212"/>
      <c r="I73" s="212"/>
      <c r="J73" s="212"/>
      <c r="K73" s="212"/>
      <c r="L73" s="212"/>
    </row>
    <row r="74" spans="1:13" x14ac:dyDescent="0.25">
      <c r="A74" s="212"/>
      <c r="B74" s="212"/>
      <c r="C74" s="212"/>
      <c r="D74" s="212"/>
      <c r="E74" s="212"/>
      <c r="F74" s="212"/>
      <c r="G74" s="212"/>
      <c r="H74" s="212"/>
      <c r="I74" s="212"/>
      <c r="J74" s="212"/>
      <c r="K74" s="212"/>
      <c r="L74" s="212"/>
    </row>
    <row r="75" spans="1:13" x14ac:dyDescent="0.25">
      <c r="A75" s="212"/>
      <c r="B75" s="212"/>
      <c r="C75" s="212"/>
      <c r="D75" s="212"/>
      <c r="E75" s="212"/>
      <c r="F75" s="212"/>
      <c r="G75" s="212"/>
      <c r="H75" s="212"/>
      <c r="I75" s="212"/>
      <c r="J75" s="212"/>
      <c r="K75" s="212"/>
      <c r="L75" s="212"/>
    </row>
    <row r="76" spans="1:13" x14ac:dyDescent="0.25">
      <c r="A76" s="212"/>
      <c r="B76" s="212"/>
      <c r="C76" s="212"/>
      <c r="D76" s="212"/>
      <c r="E76" s="212"/>
      <c r="F76" s="212"/>
      <c r="G76" s="212"/>
      <c r="H76" s="212"/>
      <c r="I76" s="212"/>
      <c r="J76" s="212"/>
      <c r="K76" s="212"/>
      <c r="L76" s="212"/>
    </row>
    <row r="77" spans="1:13" x14ac:dyDescent="0.25">
      <c r="G77" s="209" t="s">
        <v>83</v>
      </c>
      <c r="H77" s="209"/>
    </row>
  </sheetData>
  <mergeCells count="114">
    <mergeCell ref="A69:L76"/>
    <mergeCell ref="G77:H77"/>
    <mergeCell ref="B55:L55"/>
    <mergeCell ref="A66:B66"/>
    <mergeCell ref="D57:E58"/>
    <mergeCell ref="D59:E60"/>
    <mergeCell ref="D61:E62"/>
    <mergeCell ref="D63:G64"/>
    <mergeCell ref="A57:B57"/>
    <mergeCell ref="A63:B63"/>
    <mergeCell ref="D65:I66"/>
    <mergeCell ref="J66:K66"/>
    <mergeCell ref="K12:L12"/>
    <mergeCell ref="G12:H12"/>
    <mergeCell ref="C17:E17"/>
    <mergeCell ref="G17:H17"/>
    <mergeCell ref="I17:J17"/>
    <mergeCell ref="K15:L15"/>
    <mergeCell ref="K3:L3"/>
    <mergeCell ref="A6:L6"/>
    <mergeCell ref="A7:L7"/>
    <mergeCell ref="B8:K8"/>
    <mergeCell ref="K17:L17"/>
    <mergeCell ref="I3:J3"/>
    <mergeCell ref="I4:J4"/>
    <mergeCell ref="C12:F12"/>
    <mergeCell ref="C15:F15"/>
    <mergeCell ref="I12:J12"/>
    <mergeCell ref="K22:L22"/>
    <mergeCell ref="I21:J21"/>
    <mergeCell ref="K21:L21"/>
    <mergeCell ref="I25:J25"/>
    <mergeCell ref="I24:J24"/>
    <mergeCell ref="K24:L24"/>
    <mergeCell ref="K25:L25"/>
    <mergeCell ref="I22:J22"/>
    <mergeCell ref="C18:E18"/>
    <mergeCell ref="G18:H18"/>
    <mergeCell ref="G20:H20"/>
    <mergeCell ref="C24:E24"/>
    <mergeCell ref="C25:E25"/>
    <mergeCell ref="G24:H24"/>
    <mergeCell ref="G25:H25"/>
    <mergeCell ref="G21:H21"/>
    <mergeCell ref="G22:H22"/>
    <mergeCell ref="I18:J18"/>
    <mergeCell ref="K18:L18"/>
    <mergeCell ref="K19:L19"/>
    <mergeCell ref="G19:H19"/>
    <mergeCell ref="I19:J19"/>
    <mergeCell ref="K20:L20"/>
    <mergeCell ref="I20:J20"/>
    <mergeCell ref="G30:H31"/>
    <mergeCell ref="C29:E29"/>
    <mergeCell ref="C30:E30"/>
    <mergeCell ref="I30:J31"/>
    <mergeCell ref="K32:L33"/>
    <mergeCell ref="I26:J27"/>
    <mergeCell ref="K28:L29"/>
    <mergeCell ref="I32:J33"/>
    <mergeCell ref="I28:J29"/>
    <mergeCell ref="C33:E33"/>
    <mergeCell ref="K26:L27"/>
    <mergeCell ref="K30:L31"/>
    <mergeCell ref="C19:F19"/>
    <mergeCell ref="C20:F20"/>
    <mergeCell ref="C21:F21"/>
    <mergeCell ref="C22:F22"/>
    <mergeCell ref="C49:E49"/>
    <mergeCell ref="C50:E50"/>
    <mergeCell ref="J42:J43"/>
    <mergeCell ref="C32:E32"/>
    <mergeCell ref="K34:L35"/>
    <mergeCell ref="C35:E35"/>
    <mergeCell ref="C34:E34"/>
    <mergeCell ref="G32:H33"/>
    <mergeCell ref="I34:J35"/>
    <mergeCell ref="G34:H35"/>
    <mergeCell ref="C37:E37"/>
    <mergeCell ref="G37:H37"/>
    <mergeCell ref="I37:J37"/>
    <mergeCell ref="K37:L37"/>
    <mergeCell ref="C27:E27"/>
    <mergeCell ref="C26:E26"/>
    <mergeCell ref="G26:H27"/>
    <mergeCell ref="G28:H29"/>
    <mergeCell ref="C28:E28"/>
    <mergeCell ref="C31:E31"/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  <mergeCell ref="J40:J41"/>
    <mergeCell ref="G47:J47"/>
    <mergeCell ref="I60:L60"/>
    <mergeCell ref="K47:L47"/>
    <mergeCell ref="C51:E52"/>
    <mergeCell ref="E40:F41"/>
    <mergeCell ref="C47:F47"/>
    <mergeCell ref="F50:L52"/>
    <mergeCell ref="B54:L54"/>
    <mergeCell ref="J65:K65"/>
    <mergeCell ref="I59:L59"/>
    <mergeCell ref="A65:B65"/>
    <mergeCell ref="A58:B58"/>
    <mergeCell ref="A59:B59"/>
    <mergeCell ref="A60:B60"/>
    <mergeCell ref="A62:B62"/>
    <mergeCell ref="A64:B64"/>
  </mergeCells>
  <phoneticPr fontId="0" type="noConversion"/>
  <printOptions horizontalCentered="1" verticalCentered="1"/>
  <pageMargins left="0.25" right="0.25" top="0.75" bottom="0.75" header="0.3" footer="0.3"/>
  <pageSetup paperSize="9" scale="7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U84"/>
  <sheetViews>
    <sheetView tabSelected="1" topLeftCell="B39" zoomScale="48" zoomScaleNormal="48" workbookViewId="0">
      <selection activeCell="O65" sqref="O65"/>
    </sheetView>
  </sheetViews>
  <sheetFormatPr defaultColWidth="9.109375" defaultRowHeight="17.399999999999999" x14ac:dyDescent="0.3"/>
  <cols>
    <col min="1" max="1" width="6.5546875" style="55" customWidth="1"/>
    <col min="2" max="2" width="40.6640625" style="55" customWidth="1"/>
    <col min="3" max="3" width="30.5546875" style="55" customWidth="1"/>
    <col min="4" max="4" width="21.6640625" style="55" customWidth="1"/>
    <col min="5" max="5" width="23.33203125" style="55" customWidth="1"/>
    <col min="6" max="6" width="38.6640625" style="55" customWidth="1"/>
    <col min="7" max="7" width="31.109375" style="55" customWidth="1"/>
    <col min="8" max="8" width="27.6640625" style="55" customWidth="1"/>
    <col min="9" max="10" width="19.5546875" style="55" customWidth="1"/>
    <col min="11" max="11" width="6.5546875" style="55" customWidth="1"/>
    <col min="12" max="12" width="9.109375" style="55"/>
    <col min="13" max="13" width="12.44140625" style="55" customWidth="1"/>
    <col min="14" max="16384" width="9.109375" style="55"/>
  </cols>
  <sheetData>
    <row r="1" spans="2:21" ht="23.4" customHeight="1" x14ac:dyDescent="0.3"/>
    <row r="2" spans="2:21" ht="23.4" customHeight="1" x14ac:dyDescent="0.3"/>
    <row r="3" spans="2:21" ht="23.4" customHeight="1" x14ac:dyDescent="0.4">
      <c r="D3" s="297" t="s">
        <v>88</v>
      </c>
      <c r="E3" s="297"/>
      <c r="F3" s="297"/>
      <c r="G3" s="297"/>
      <c r="H3" s="298" t="s">
        <v>89</v>
      </c>
      <c r="I3" s="300"/>
      <c r="J3" s="301"/>
    </row>
    <row r="4" spans="2:21" s="58" customFormat="1" ht="23.4" customHeight="1" x14ac:dyDescent="0.4">
      <c r="B4" s="56" t="s">
        <v>90</v>
      </c>
      <c r="C4" s="57"/>
      <c r="D4" s="302" t="s">
        <v>91</v>
      </c>
      <c r="E4" s="302"/>
      <c r="F4" s="302"/>
      <c r="G4" s="302"/>
      <c r="H4" s="299"/>
      <c r="I4" s="301"/>
      <c r="J4" s="301"/>
    </row>
    <row r="5" spans="2:21" s="58" customFormat="1" ht="23.4" customHeight="1" x14ac:dyDescent="0.4">
      <c r="B5" s="56" t="s">
        <v>92</v>
      </c>
      <c r="C5" s="56"/>
      <c r="H5" s="303" t="s">
        <v>93</v>
      </c>
      <c r="I5" s="305" t="s">
        <v>330</v>
      </c>
      <c r="J5" s="306"/>
    </row>
    <row r="6" spans="2:21" s="58" customFormat="1" ht="23.4" customHeight="1" x14ac:dyDescent="0.4">
      <c r="B6" s="56"/>
      <c r="C6" s="56"/>
      <c r="D6" s="56"/>
      <c r="E6" s="56"/>
      <c r="F6" s="56"/>
      <c r="G6" s="56"/>
      <c r="H6" s="304"/>
      <c r="I6" s="307"/>
      <c r="J6" s="307"/>
    </row>
    <row r="7" spans="2:21" ht="23.4" customHeight="1" x14ac:dyDescent="0.3">
      <c r="B7" s="59" t="s">
        <v>94</v>
      </c>
      <c r="C7" s="281" t="s">
        <v>315</v>
      </c>
      <c r="D7" s="59" t="s">
        <v>95</v>
      </c>
      <c r="E7" s="283" t="s">
        <v>316</v>
      </c>
      <c r="F7" s="284"/>
      <c r="G7" s="60" t="s">
        <v>96</v>
      </c>
      <c r="H7" s="283" t="s">
        <v>317</v>
      </c>
      <c r="I7" s="292"/>
      <c r="J7" s="295">
        <v>6</v>
      </c>
    </row>
    <row r="8" spans="2:21" ht="23.4" customHeight="1" x14ac:dyDescent="0.3">
      <c r="B8" s="61" t="s">
        <v>97</v>
      </c>
      <c r="C8" s="282"/>
      <c r="D8" s="61" t="s">
        <v>98</v>
      </c>
      <c r="E8" s="285"/>
      <c r="F8" s="286"/>
      <c r="G8" s="62" t="s">
        <v>99</v>
      </c>
      <c r="H8" s="293"/>
      <c r="I8" s="294"/>
      <c r="J8" s="296"/>
    </row>
    <row r="9" spans="2:21" ht="5.25" customHeight="1" x14ac:dyDescent="0.3">
      <c r="B9" s="63"/>
      <c r="C9" s="64"/>
      <c r="F9" s="64"/>
      <c r="G9" s="65"/>
      <c r="H9" s="65"/>
      <c r="I9" s="66"/>
      <c r="J9" s="67"/>
    </row>
    <row r="10" spans="2:21" s="74" customFormat="1" ht="23.4" customHeight="1" x14ac:dyDescent="0.4">
      <c r="B10" s="68" t="s">
        <v>100</v>
      </c>
      <c r="C10" s="69"/>
      <c r="D10" s="59" t="s">
        <v>101</v>
      </c>
      <c r="E10" s="70"/>
      <c r="F10" s="71"/>
      <c r="G10" s="59" t="s">
        <v>102</v>
      </c>
      <c r="H10" s="70"/>
      <c r="I10" s="72"/>
      <c r="J10" s="73"/>
    </row>
    <row r="11" spans="2:21" ht="23.4" customHeight="1" x14ac:dyDescent="0.4">
      <c r="B11" s="75" t="s">
        <v>103</v>
      </c>
      <c r="C11" s="76"/>
      <c r="D11" s="63" t="s">
        <v>104</v>
      </c>
      <c r="F11" s="77"/>
      <c r="G11" s="63" t="s">
        <v>105</v>
      </c>
      <c r="I11" s="78"/>
      <c r="J11" s="79"/>
    </row>
    <row r="12" spans="2:21" s="74" customFormat="1" ht="23.4" customHeight="1" x14ac:dyDescent="0.4">
      <c r="B12" s="59" t="s">
        <v>106</v>
      </c>
      <c r="C12" s="71"/>
      <c r="D12" s="59" t="s">
        <v>107</v>
      </c>
      <c r="E12" s="70"/>
      <c r="F12" s="71"/>
      <c r="G12" s="59" t="s">
        <v>108</v>
      </c>
      <c r="H12" s="70"/>
      <c r="I12" s="72"/>
      <c r="J12" s="73"/>
      <c r="O12" s="74" t="s">
        <v>1</v>
      </c>
    </row>
    <row r="13" spans="2:21" ht="23.4" customHeight="1" x14ac:dyDescent="0.4">
      <c r="B13" s="61" t="s">
        <v>109</v>
      </c>
      <c r="C13" s="80"/>
      <c r="D13" s="61" t="s">
        <v>110</v>
      </c>
      <c r="E13" s="81"/>
      <c r="F13" s="80"/>
      <c r="G13" s="61" t="s">
        <v>111</v>
      </c>
      <c r="H13" s="81"/>
      <c r="I13" s="82"/>
      <c r="J13" s="83" t="s">
        <v>327</v>
      </c>
    </row>
    <row r="14" spans="2:21" s="74" customFormat="1" ht="23.4" customHeight="1" x14ac:dyDescent="0.4">
      <c r="B14" s="84" t="s">
        <v>112</v>
      </c>
      <c r="C14" s="78"/>
      <c r="D14" s="84" t="s">
        <v>113</v>
      </c>
      <c r="F14" s="77"/>
      <c r="G14" s="84" t="s">
        <v>114</v>
      </c>
      <c r="I14" s="78"/>
      <c r="J14" s="79"/>
      <c r="O14" s="74" t="s">
        <v>1</v>
      </c>
      <c r="U14" s="74" t="s">
        <v>1</v>
      </c>
    </row>
    <row r="15" spans="2:21" ht="23.4" customHeight="1" x14ac:dyDescent="0.4">
      <c r="B15" s="63" t="s">
        <v>115</v>
      </c>
      <c r="C15" s="78"/>
      <c r="D15" s="63" t="s">
        <v>116</v>
      </c>
      <c r="F15" s="77"/>
      <c r="G15" s="61" t="s">
        <v>117</v>
      </c>
      <c r="H15" s="81"/>
      <c r="I15" s="82"/>
      <c r="J15" s="83" t="s">
        <v>328</v>
      </c>
    </row>
    <row r="16" spans="2:21" s="74" customFormat="1" ht="23.4" customHeight="1" x14ac:dyDescent="0.4">
      <c r="B16" s="59" t="s">
        <v>118</v>
      </c>
      <c r="C16" s="71"/>
      <c r="D16" s="59" t="s">
        <v>119</v>
      </c>
      <c r="E16" s="70"/>
      <c r="F16" s="71"/>
      <c r="G16" s="59" t="s">
        <v>120</v>
      </c>
      <c r="H16" s="70"/>
      <c r="I16" s="72"/>
      <c r="J16" s="73"/>
    </row>
    <row r="17" spans="2:10" ht="23.4" customHeight="1" x14ac:dyDescent="0.4">
      <c r="B17" s="61" t="s">
        <v>121</v>
      </c>
      <c r="C17" s="80"/>
      <c r="D17" s="61" t="s">
        <v>122</v>
      </c>
      <c r="E17" s="81"/>
      <c r="F17" s="80"/>
      <c r="G17" s="61" t="s">
        <v>123</v>
      </c>
      <c r="H17" s="81"/>
      <c r="I17" s="82"/>
      <c r="J17" s="83" t="s">
        <v>329</v>
      </c>
    </row>
    <row r="18" spans="2:10" s="74" customFormat="1" ht="23.4" customHeight="1" x14ac:dyDescent="0.4">
      <c r="B18" s="84" t="s">
        <v>124</v>
      </c>
      <c r="C18" s="78"/>
      <c r="D18" s="84" t="s">
        <v>125</v>
      </c>
      <c r="F18" s="77"/>
      <c r="G18" s="59" t="s">
        <v>126</v>
      </c>
      <c r="H18" s="70"/>
      <c r="I18" s="72"/>
      <c r="J18" s="85"/>
    </row>
    <row r="19" spans="2:10" ht="23.4" customHeight="1" x14ac:dyDescent="0.4">
      <c r="B19" s="63" t="s">
        <v>127</v>
      </c>
      <c r="C19" s="78"/>
      <c r="D19" s="63" t="s">
        <v>128</v>
      </c>
      <c r="F19" s="77"/>
      <c r="G19" s="61" t="s">
        <v>129</v>
      </c>
      <c r="H19" s="81"/>
      <c r="I19" s="82"/>
      <c r="J19" s="83" t="s">
        <v>329</v>
      </c>
    </row>
    <row r="20" spans="2:10" s="74" customFormat="1" ht="23.4" customHeight="1" x14ac:dyDescent="0.4">
      <c r="B20" s="59" t="s">
        <v>107</v>
      </c>
      <c r="C20" s="71"/>
      <c r="D20" s="59" t="s">
        <v>130</v>
      </c>
      <c r="E20" s="70"/>
      <c r="F20" s="71"/>
      <c r="G20" s="59" t="s">
        <v>131</v>
      </c>
      <c r="H20" s="70"/>
      <c r="I20" s="72"/>
      <c r="J20" s="73"/>
    </row>
    <row r="21" spans="2:10" ht="23.4" customHeight="1" x14ac:dyDescent="0.4">
      <c r="B21" s="61" t="s">
        <v>132</v>
      </c>
      <c r="C21" s="80"/>
      <c r="D21" s="61" t="s">
        <v>133</v>
      </c>
      <c r="E21" s="81"/>
      <c r="F21" s="80"/>
      <c r="G21" s="61" t="s">
        <v>134</v>
      </c>
      <c r="H21" s="81"/>
      <c r="I21" s="82"/>
      <c r="J21" s="83"/>
    </row>
    <row r="22" spans="2:10" s="74" customFormat="1" ht="23.4" customHeight="1" x14ac:dyDescent="0.4">
      <c r="B22" s="84" t="s">
        <v>135</v>
      </c>
      <c r="C22" s="78"/>
      <c r="D22" s="84" t="s">
        <v>136</v>
      </c>
      <c r="F22" s="77"/>
      <c r="G22" s="74" t="s">
        <v>137</v>
      </c>
      <c r="I22" s="78"/>
      <c r="J22" s="79"/>
    </row>
    <row r="23" spans="2:10" ht="23.4" customHeight="1" x14ac:dyDescent="0.4">
      <c r="B23" s="63" t="s">
        <v>138</v>
      </c>
      <c r="C23" s="78"/>
      <c r="D23" s="63" t="s">
        <v>139</v>
      </c>
      <c r="F23" s="83"/>
      <c r="G23" s="81" t="s">
        <v>140</v>
      </c>
      <c r="H23" s="81"/>
      <c r="I23" s="86"/>
      <c r="J23" s="87"/>
    </row>
    <row r="24" spans="2:10" s="74" customFormat="1" ht="23.4" customHeight="1" x14ac:dyDescent="0.4">
      <c r="B24" s="59" t="s">
        <v>141</v>
      </c>
      <c r="C24" s="71"/>
      <c r="D24" s="59" t="s">
        <v>142</v>
      </c>
      <c r="E24" s="70"/>
      <c r="F24" s="71"/>
      <c r="G24" s="59" t="s">
        <v>143</v>
      </c>
      <c r="H24" s="70"/>
      <c r="I24" s="72"/>
      <c r="J24" s="73"/>
    </row>
    <row r="25" spans="2:10" ht="23.4" customHeight="1" x14ac:dyDescent="0.4">
      <c r="B25" s="61" t="s">
        <v>144</v>
      </c>
      <c r="C25" s="80"/>
      <c r="D25" s="61" t="s">
        <v>145</v>
      </c>
      <c r="E25" s="81"/>
      <c r="F25" s="83" t="s">
        <v>331</v>
      </c>
      <c r="G25" s="61" t="s">
        <v>146</v>
      </c>
      <c r="H25" s="81"/>
      <c r="I25" s="82"/>
      <c r="J25" s="83" t="s">
        <v>303</v>
      </c>
    </row>
    <row r="26" spans="2:10" s="74" customFormat="1" ht="23.4" customHeight="1" x14ac:dyDescent="0.4">
      <c r="B26" s="59" t="s">
        <v>147</v>
      </c>
      <c r="C26" s="71"/>
      <c r="D26" s="74" t="s">
        <v>148</v>
      </c>
      <c r="F26" s="77"/>
      <c r="G26" s="84" t="s">
        <v>149</v>
      </c>
      <c r="I26" s="78"/>
      <c r="J26" s="79"/>
    </row>
    <row r="27" spans="2:10" ht="23.4" customHeight="1" x14ac:dyDescent="0.4">
      <c r="B27" s="61" t="s">
        <v>150</v>
      </c>
      <c r="C27" s="80"/>
      <c r="D27" s="55" t="s">
        <v>151</v>
      </c>
      <c r="F27" s="77"/>
      <c r="G27" s="61" t="s">
        <v>152</v>
      </c>
      <c r="H27" s="81"/>
      <c r="I27" s="86"/>
      <c r="J27" s="88"/>
    </row>
    <row r="28" spans="2:10" s="74" customFormat="1" ht="23.4" customHeight="1" x14ac:dyDescent="0.4">
      <c r="B28" s="59" t="s">
        <v>153</v>
      </c>
      <c r="C28" s="71"/>
      <c r="D28" s="70" t="s">
        <v>154</v>
      </c>
      <c r="E28" s="70"/>
      <c r="F28" s="71"/>
      <c r="G28" s="59" t="s">
        <v>155</v>
      </c>
      <c r="H28" s="70"/>
      <c r="I28" s="72"/>
      <c r="J28" s="73"/>
    </row>
    <row r="29" spans="2:10" ht="23.4" customHeight="1" x14ac:dyDescent="0.4">
      <c r="B29" s="61" t="s">
        <v>156</v>
      </c>
      <c r="C29" s="83"/>
      <c r="D29" s="81" t="s">
        <v>157</v>
      </c>
      <c r="E29" s="81"/>
      <c r="F29" s="80"/>
      <c r="G29" s="61" t="s">
        <v>158</v>
      </c>
      <c r="H29" s="81"/>
      <c r="I29" s="86"/>
      <c r="J29" s="88"/>
    </row>
    <row r="30" spans="2:10" s="74" customFormat="1" ht="23.4" customHeight="1" x14ac:dyDescent="0.4">
      <c r="B30" s="59" t="s">
        <v>159</v>
      </c>
      <c r="C30" s="71"/>
      <c r="D30" s="84" t="s">
        <v>160</v>
      </c>
      <c r="F30" s="77"/>
      <c r="G30" s="59" t="s">
        <v>161</v>
      </c>
      <c r="H30" s="70"/>
      <c r="I30" s="72"/>
      <c r="J30" s="73"/>
    </row>
    <row r="31" spans="2:10" ht="23.4" customHeight="1" x14ac:dyDescent="0.4">
      <c r="B31" s="61" t="s">
        <v>162</v>
      </c>
      <c r="C31" s="83"/>
      <c r="D31" s="63" t="s">
        <v>163</v>
      </c>
      <c r="F31" s="77"/>
      <c r="G31" s="61" t="s">
        <v>164</v>
      </c>
      <c r="H31" s="81"/>
      <c r="I31" s="86"/>
      <c r="J31" s="88"/>
    </row>
    <row r="32" spans="2:10" s="74" customFormat="1" ht="23.4" customHeight="1" x14ac:dyDescent="0.4">
      <c r="B32" s="84" t="s">
        <v>165</v>
      </c>
      <c r="C32" s="77"/>
      <c r="D32" s="59" t="s">
        <v>166</v>
      </c>
      <c r="E32" s="70"/>
      <c r="F32" s="71"/>
      <c r="G32" s="59" t="s">
        <v>167</v>
      </c>
      <c r="H32" s="70"/>
      <c r="I32" s="72"/>
      <c r="J32" s="73"/>
    </row>
    <row r="33" spans="2:10" ht="23.4" customHeight="1" x14ac:dyDescent="0.4">
      <c r="B33" s="61" t="s">
        <v>168</v>
      </c>
      <c r="C33" s="80"/>
      <c r="D33" s="61" t="s">
        <v>169</v>
      </c>
      <c r="E33" s="81"/>
      <c r="F33" s="80"/>
      <c r="G33" s="61" t="s">
        <v>170</v>
      </c>
      <c r="H33" s="81"/>
      <c r="I33" s="86"/>
      <c r="J33" s="88"/>
    </row>
    <row r="34" spans="2:10" s="74" customFormat="1" ht="23.4" customHeight="1" x14ac:dyDescent="0.4">
      <c r="B34" s="84" t="s">
        <v>171</v>
      </c>
      <c r="C34" s="78"/>
      <c r="D34" s="89" t="s">
        <v>172</v>
      </c>
      <c r="E34" s="90"/>
      <c r="F34" s="91"/>
      <c r="G34" s="59" t="s">
        <v>173</v>
      </c>
      <c r="H34" s="70"/>
      <c r="I34" s="72"/>
      <c r="J34" s="73"/>
    </row>
    <row r="35" spans="2:10" ht="23.4" customHeight="1" x14ac:dyDescent="0.4">
      <c r="B35" s="63" t="s">
        <v>174</v>
      </c>
      <c r="C35" s="92"/>
      <c r="D35" s="75" t="s">
        <v>175</v>
      </c>
      <c r="E35" s="93"/>
      <c r="F35" s="94"/>
      <c r="G35" s="61" t="s">
        <v>176</v>
      </c>
      <c r="H35" s="81"/>
      <c r="I35" s="86"/>
      <c r="J35" s="88"/>
    </row>
    <row r="36" spans="2:10" s="74" customFormat="1" ht="23.4" customHeight="1" x14ac:dyDescent="0.4">
      <c r="B36" s="59" t="s">
        <v>177</v>
      </c>
      <c r="C36" s="71" t="s">
        <v>1</v>
      </c>
      <c r="D36" s="59" t="s">
        <v>178</v>
      </c>
      <c r="E36" s="70"/>
      <c r="F36" s="71"/>
      <c r="G36" s="70" t="s">
        <v>179</v>
      </c>
      <c r="H36" s="70"/>
      <c r="I36" s="72"/>
      <c r="J36" s="73"/>
    </row>
    <row r="37" spans="2:10" ht="23.4" customHeight="1" x14ac:dyDescent="0.4">
      <c r="B37" s="61" t="s">
        <v>180</v>
      </c>
      <c r="C37" s="80"/>
      <c r="D37" s="61" t="s">
        <v>181</v>
      </c>
      <c r="E37" s="81"/>
      <c r="F37" s="83" t="s">
        <v>311</v>
      </c>
      <c r="G37" s="81" t="s">
        <v>182</v>
      </c>
      <c r="H37" s="81"/>
      <c r="I37" s="86"/>
      <c r="J37" s="88"/>
    </row>
    <row r="38" spans="2:10" s="74" customFormat="1" ht="23.4" customHeight="1" x14ac:dyDescent="0.4">
      <c r="B38" s="84" t="s">
        <v>183</v>
      </c>
      <c r="C38" s="78"/>
      <c r="D38" s="84" t="s">
        <v>184</v>
      </c>
      <c r="F38" s="77"/>
      <c r="G38" s="59" t="s">
        <v>185</v>
      </c>
      <c r="H38" s="70"/>
      <c r="I38" s="72"/>
      <c r="J38" s="73"/>
    </row>
    <row r="39" spans="2:10" ht="23.4" customHeight="1" x14ac:dyDescent="0.4">
      <c r="B39" s="63" t="s">
        <v>180</v>
      </c>
      <c r="C39" s="78"/>
      <c r="D39" s="63" t="s">
        <v>186</v>
      </c>
      <c r="F39" s="77"/>
      <c r="G39" s="61" t="s">
        <v>187</v>
      </c>
      <c r="H39" s="81"/>
      <c r="I39" s="86"/>
      <c r="J39" s="88"/>
    </row>
    <row r="40" spans="2:10" s="74" customFormat="1" ht="23.4" customHeight="1" x14ac:dyDescent="0.4">
      <c r="B40" s="59" t="s">
        <v>188</v>
      </c>
      <c r="C40" s="71"/>
      <c r="D40" s="59" t="s">
        <v>189</v>
      </c>
      <c r="E40" s="70"/>
      <c r="F40" s="71"/>
      <c r="G40" s="70" t="s">
        <v>190</v>
      </c>
      <c r="H40" s="70"/>
      <c r="I40" s="72"/>
      <c r="J40" s="73"/>
    </row>
    <row r="41" spans="2:10" ht="23.4" customHeight="1" x14ac:dyDescent="0.4">
      <c r="B41" s="61" t="s">
        <v>191</v>
      </c>
      <c r="C41" s="80"/>
      <c r="D41" s="61" t="s">
        <v>192</v>
      </c>
      <c r="E41" s="81"/>
      <c r="F41" s="95" t="s">
        <v>306</v>
      </c>
      <c r="G41" s="81" t="s">
        <v>193</v>
      </c>
      <c r="H41" s="81"/>
      <c r="I41" s="86"/>
      <c r="J41" s="88"/>
    </row>
    <row r="42" spans="2:10" s="74" customFormat="1" ht="23.4" customHeight="1" x14ac:dyDescent="0.4">
      <c r="B42" s="59" t="s">
        <v>194</v>
      </c>
      <c r="C42" s="71"/>
      <c r="D42" s="74" t="s">
        <v>195</v>
      </c>
      <c r="F42" s="77"/>
      <c r="G42" s="59" t="s">
        <v>196</v>
      </c>
      <c r="H42" s="70"/>
      <c r="I42" s="72"/>
      <c r="J42" s="73"/>
    </row>
    <row r="43" spans="2:10" ht="23.4" customHeight="1" x14ac:dyDescent="0.4">
      <c r="B43" s="61" t="s">
        <v>197</v>
      </c>
      <c r="C43" s="80"/>
      <c r="D43" s="55" t="s">
        <v>198</v>
      </c>
      <c r="F43" s="77"/>
      <c r="G43" s="61" t="s">
        <v>199</v>
      </c>
      <c r="H43" s="81"/>
      <c r="I43" s="86"/>
      <c r="J43" s="88"/>
    </row>
    <row r="44" spans="2:10" s="74" customFormat="1" ht="23.4" customHeight="1" x14ac:dyDescent="0.4">
      <c r="B44" s="59" t="s">
        <v>200</v>
      </c>
      <c r="C44" s="72"/>
      <c r="D44" s="68" t="s">
        <v>201</v>
      </c>
      <c r="E44" s="96"/>
      <c r="F44" s="97"/>
      <c r="G44" s="68" t="s">
        <v>202</v>
      </c>
      <c r="H44" s="96"/>
      <c r="I44" s="98" t="s">
        <v>203</v>
      </c>
      <c r="J44" s="97"/>
    </row>
    <row r="45" spans="2:10" ht="23.4" customHeight="1" x14ac:dyDescent="0.4">
      <c r="B45" s="61" t="s">
        <v>204</v>
      </c>
      <c r="C45" s="82"/>
      <c r="D45" s="99" t="s">
        <v>205</v>
      </c>
      <c r="E45" s="100"/>
      <c r="F45" s="101"/>
      <c r="G45" s="99"/>
      <c r="H45" s="100"/>
      <c r="I45" s="93"/>
      <c r="J45" s="102"/>
    </row>
    <row r="46" spans="2:10" s="74" customFormat="1" ht="23.4" customHeight="1" x14ac:dyDescent="0.4">
      <c r="B46" s="59" t="s">
        <v>206</v>
      </c>
      <c r="C46" s="71"/>
      <c r="D46" s="84" t="s">
        <v>207</v>
      </c>
      <c r="F46" s="77"/>
      <c r="G46" s="59" t="s">
        <v>208</v>
      </c>
      <c r="H46" s="70"/>
      <c r="I46" s="103"/>
      <c r="J46" s="73"/>
    </row>
    <row r="47" spans="2:10" ht="23.4" customHeight="1" x14ac:dyDescent="0.3">
      <c r="B47" s="61" t="s">
        <v>209</v>
      </c>
      <c r="C47" s="83"/>
      <c r="D47" s="61" t="s">
        <v>210</v>
      </c>
      <c r="E47" s="81"/>
      <c r="F47" s="104" t="s">
        <v>333</v>
      </c>
      <c r="G47" s="61"/>
      <c r="H47" s="81"/>
      <c r="I47" s="105"/>
      <c r="J47" s="106"/>
    </row>
    <row r="48" spans="2:10" s="74" customFormat="1" ht="23.4" customHeight="1" x14ac:dyDescent="0.4">
      <c r="B48" s="59" t="s">
        <v>211</v>
      </c>
      <c r="C48" s="71"/>
      <c r="D48" s="84" t="s">
        <v>212</v>
      </c>
      <c r="F48" s="77"/>
      <c r="G48" s="59" t="s">
        <v>213</v>
      </c>
      <c r="H48" s="107"/>
      <c r="I48" s="108"/>
      <c r="J48" s="79" t="s">
        <v>1</v>
      </c>
    </row>
    <row r="49" spans="1:13" ht="23.4" customHeight="1" x14ac:dyDescent="0.4">
      <c r="B49" s="61" t="s">
        <v>214</v>
      </c>
      <c r="C49" s="83" t="s">
        <v>318</v>
      </c>
      <c r="D49" s="61" t="s">
        <v>215</v>
      </c>
      <c r="E49" s="81"/>
      <c r="F49" s="80"/>
      <c r="G49" s="61"/>
      <c r="H49" s="109"/>
      <c r="I49" s="105"/>
      <c r="J49" s="106"/>
    </row>
    <row r="50" spans="1:13" s="74" customFormat="1" ht="23.4" customHeight="1" x14ac:dyDescent="0.4">
      <c r="B50" s="84" t="s">
        <v>216</v>
      </c>
      <c r="C50" s="78"/>
      <c r="D50" s="59" t="s">
        <v>217</v>
      </c>
      <c r="E50" s="70"/>
      <c r="F50" s="71"/>
      <c r="G50" s="59" t="s">
        <v>218</v>
      </c>
      <c r="H50" s="107"/>
      <c r="I50" s="110"/>
      <c r="J50" s="73" t="s">
        <v>1</v>
      </c>
    </row>
    <row r="51" spans="1:13" ht="23.4" customHeight="1" x14ac:dyDescent="0.4">
      <c r="B51" s="63" t="s">
        <v>219</v>
      </c>
      <c r="C51" s="78"/>
      <c r="D51" s="61" t="s">
        <v>220</v>
      </c>
      <c r="E51" s="81"/>
      <c r="F51" s="80"/>
      <c r="G51" s="61"/>
      <c r="H51" s="109"/>
      <c r="I51" s="105"/>
      <c r="J51" s="106"/>
    </row>
    <row r="52" spans="1:13" s="74" customFormat="1" ht="23.4" customHeight="1" x14ac:dyDescent="0.4">
      <c r="B52" s="59" t="s">
        <v>221</v>
      </c>
      <c r="C52" s="72"/>
      <c r="D52" s="59" t="s">
        <v>222</v>
      </c>
      <c r="E52" s="70"/>
      <c r="F52" s="71"/>
      <c r="G52" s="59" t="s">
        <v>223</v>
      </c>
      <c r="H52" s="107"/>
      <c r="I52" s="110"/>
      <c r="J52" s="73" t="s">
        <v>1</v>
      </c>
    </row>
    <row r="53" spans="1:13" ht="23.4" customHeight="1" x14ac:dyDescent="0.4">
      <c r="B53" s="61" t="s">
        <v>224</v>
      </c>
      <c r="C53" s="86"/>
      <c r="D53" s="61" t="s">
        <v>225</v>
      </c>
      <c r="E53" s="81"/>
      <c r="F53" s="83" t="s">
        <v>302</v>
      </c>
      <c r="G53" s="63"/>
      <c r="H53" s="111"/>
      <c r="I53" s="105"/>
      <c r="J53" s="106" t="s">
        <v>1</v>
      </c>
    </row>
    <row r="54" spans="1:13" s="74" customFormat="1" ht="23.4" customHeight="1" x14ac:dyDescent="0.4">
      <c r="B54" s="84" t="s">
        <v>226</v>
      </c>
      <c r="C54" s="78"/>
      <c r="D54" s="84" t="s">
        <v>227</v>
      </c>
      <c r="F54" s="78"/>
      <c r="G54" s="68" t="s">
        <v>228</v>
      </c>
      <c r="H54" s="96"/>
      <c r="I54" s="98"/>
      <c r="J54" s="97"/>
    </row>
    <row r="55" spans="1:13" ht="23.4" customHeight="1" x14ac:dyDescent="0.4">
      <c r="B55" s="63" t="s">
        <v>229</v>
      </c>
      <c r="C55" s="78"/>
      <c r="D55" s="63" t="s">
        <v>230</v>
      </c>
      <c r="F55" s="78"/>
      <c r="G55" s="99" t="s">
        <v>231</v>
      </c>
      <c r="H55" s="100"/>
      <c r="I55" s="112"/>
      <c r="J55" s="101"/>
    </row>
    <row r="56" spans="1:13" s="74" customFormat="1" ht="23.4" customHeight="1" x14ac:dyDescent="0.4">
      <c r="B56" s="68" t="s">
        <v>232</v>
      </c>
      <c r="C56" s="113"/>
      <c r="D56" s="59" t="s">
        <v>233</v>
      </c>
      <c r="E56" s="70"/>
      <c r="F56" s="71"/>
      <c r="G56" s="287" t="s">
        <v>234</v>
      </c>
      <c r="H56" s="288"/>
      <c r="I56" s="289" t="s">
        <v>319</v>
      </c>
      <c r="J56" s="290"/>
    </row>
    <row r="57" spans="1:13" ht="23.4" customHeight="1" x14ac:dyDescent="0.4">
      <c r="B57" s="99" t="s">
        <v>235</v>
      </c>
      <c r="C57" s="114"/>
      <c r="D57" s="61" t="s">
        <v>236</v>
      </c>
      <c r="E57" s="81"/>
      <c r="F57" s="80"/>
      <c r="G57" s="280" t="s">
        <v>237</v>
      </c>
      <c r="H57" s="259"/>
      <c r="I57" s="255"/>
      <c r="J57" s="291"/>
    </row>
    <row r="58" spans="1:13" s="74" customFormat="1" ht="23.4" customHeight="1" x14ac:dyDescent="0.4">
      <c r="B58" s="84" t="s">
        <v>238</v>
      </c>
      <c r="C58" s="78"/>
      <c r="D58" s="59" t="s">
        <v>239</v>
      </c>
      <c r="E58" s="70"/>
      <c r="F58" s="71"/>
      <c r="G58" s="279" t="s">
        <v>240</v>
      </c>
      <c r="H58" s="253"/>
      <c r="I58" s="254" t="s">
        <v>320</v>
      </c>
      <c r="J58" s="256"/>
    </row>
    <row r="59" spans="1:13" ht="23.4" customHeight="1" x14ac:dyDescent="0.4">
      <c r="B59" s="63" t="s">
        <v>241</v>
      </c>
      <c r="C59" s="78"/>
      <c r="D59" s="61" t="s">
        <v>242</v>
      </c>
      <c r="E59" s="81"/>
      <c r="F59" s="115"/>
      <c r="G59" s="280" t="s">
        <v>243</v>
      </c>
      <c r="H59" s="259"/>
      <c r="I59" s="255"/>
      <c r="J59" s="257"/>
    </row>
    <row r="60" spans="1:13" s="74" customFormat="1" ht="23.4" customHeight="1" x14ac:dyDescent="0.4">
      <c r="B60" s="59" t="s">
        <v>244</v>
      </c>
      <c r="C60" s="71"/>
      <c r="D60" s="89" t="s">
        <v>245</v>
      </c>
      <c r="E60" s="90"/>
      <c r="F60" s="91"/>
      <c r="G60" s="279" t="s">
        <v>246</v>
      </c>
      <c r="H60" s="253"/>
      <c r="I60" s="254" t="s">
        <v>312</v>
      </c>
      <c r="J60" s="256"/>
      <c r="M60" s="137"/>
    </row>
    <row r="61" spans="1:13" ht="23.4" customHeight="1" x14ac:dyDescent="0.4">
      <c r="B61" s="61" t="s">
        <v>247</v>
      </c>
      <c r="C61" s="80"/>
      <c r="D61" s="99" t="s">
        <v>248</v>
      </c>
      <c r="E61" s="112"/>
      <c r="F61" s="114"/>
      <c r="G61" s="280" t="s">
        <v>249</v>
      </c>
      <c r="H61" s="259"/>
      <c r="I61" s="255"/>
      <c r="J61" s="257"/>
    </row>
    <row r="62" spans="1:13" s="74" customFormat="1" ht="23.4" customHeight="1" x14ac:dyDescent="0.4">
      <c r="B62" s="84" t="s">
        <v>250</v>
      </c>
      <c r="C62" s="78"/>
      <c r="D62" s="59" t="s">
        <v>251</v>
      </c>
      <c r="E62" s="70"/>
      <c r="F62" s="71"/>
      <c r="G62" s="252" t="s">
        <v>252</v>
      </c>
      <c r="H62" s="253"/>
      <c r="I62" s="275">
        <v>2.2000000000000002</v>
      </c>
      <c r="J62" s="277"/>
    </row>
    <row r="63" spans="1:13" ht="23.4" customHeight="1" x14ac:dyDescent="0.4">
      <c r="B63" s="63" t="s">
        <v>253</v>
      </c>
      <c r="C63" s="80"/>
      <c r="D63" s="61" t="s">
        <v>254</v>
      </c>
      <c r="E63" s="81"/>
      <c r="F63" s="83" t="s">
        <v>332</v>
      </c>
      <c r="G63" s="258" t="s">
        <v>255</v>
      </c>
      <c r="H63" s="259"/>
      <c r="I63" s="276"/>
      <c r="J63" s="278"/>
    </row>
    <row r="64" spans="1:13" ht="23.4" customHeight="1" x14ac:dyDescent="0.4">
      <c r="A64" s="74"/>
      <c r="B64" s="59" t="s">
        <v>256</v>
      </c>
      <c r="C64" s="78"/>
      <c r="D64" s="59" t="s">
        <v>257</v>
      </c>
      <c r="E64" s="116"/>
      <c r="F64" s="71"/>
      <c r="G64" s="279" t="s">
        <v>258</v>
      </c>
      <c r="H64" s="253"/>
      <c r="I64" s="254" t="s">
        <v>321</v>
      </c>
      <c r="J64" s="256"/>
      <c r="K64" s="74"/>
    </row>
    <row r="65" spans="1:11" ht="23.4" customHeight="1" x14ac:dyDescent="0.4">
      <c r="B65" s="63" t="s">
        <v>259</v>
      </c>
      <c r="C65" s="77"/>
      <c r="D65" s="61" t="s">
        <v>260</v>
      </c>
      <c r="E65" s="81"/>
      <c r="F65" s="109"/>
      <c r="G65" s="280" t="s">
        <v>261</v>
      </c>
      <c r="H65" s="259"/>
      <c r="I65" s="255"/>
      <c r="J65" s="257"/>
    </row>
    <row r="66" spans="1:11" ht="23.4" customHeight="1" x14ac:dyDescent="0.4">
      <c r="B66" s="59" t="s">
        <v>262</v>
      </c>
      <c r="C66" s="71"/>
      <c r="D66" s="59" t="s">
        <v>263</v>
      </c>
      <c r="E66" s="116"/>
      <c r="F66" s="71"/>
      <c r="G66" s="252" t="s">
        <v>264</v>
      </c>
      <c r="H66" s="253"/>
      <c r="I66" s="254" t="s">
        <v>322</v>
      </c>
      <c r="J66" s="256"/>
    </row>
    <row r="67" spans="1:11" ht="23.4" customHeight="1" x14ac:dyDescent="0.4">
      <c r="B67" s="61" t="s">
        <v>265</v>
      </c>
      <c r="C67" s="80"/>
      <c r="D67" s="61" t="s">
        <v>266</v>
      </c>
      <c r="E67" s="81"/>
      <c r="F67" s="83"/>
      <c r="G67" s="258" t="s">
        <v>267</v>
      </c>
      <c r="H67" s="259"/>
      <c r="I67" s="255"/>
      <c r="J67" s="257"/>
    </row>
    <row r="68" spans="1:11" ht="5.25" customHeight="1" x14ac:dyDescent="0.3">
      <c r="B68" s="260"/>
      <c r="C68" s="261"/>
      <c r="D68" s="261"/>
      <c r="E68" s="261"/>
      <c r="F68" s="261"/>
      <c r="G68" s="261"/>
      <c r="H68" s="261"/>
      <c r="I68" s="261"/>
      <c r="J68" s="262"/>
    </row>
    <row r="69" spans="1:11" ht="21" x14ac:dyDescent="0.3">
      <c r="B69" s="263" t="s">
        <v>268</v>
      </c>
      <c r="C69" s="117" t="s">
        <v>269</v>
      </c>
      <c r="D69" s="267" t="s">
        <v>309</v>
      </c>
      <c r="E69" s="268"/>
      <c r="F69" s="118" t="s">
        <v>270</v>
      </c>
      <c r="G69" s="119" t="s">
        <v>271</v>
      </c>
      <c r="H69" s="271" t="s">
        <v>326</v>
      </c>
      <c r="I69" s="119" t="s">
        <v>272</v>
      </c>
      <c r="J69" s="273" t="s">
        <v>326</v>
      </c>
    </row>
    <row r="70" spans="1:11" ht="21.6" customHeight="1" x14ac:dyDescent="0.3">
      <c r="B70" s="264"/>
      <c r="C70" s="120" t="s">
        <v>273</v>
      </c>
      <c r="D70" s="269"/>
      <c r="E70" s="270"/>
      <c r="F70" s="121" t="s">
        <v>274</v>
      </c>
      <c r="G70" s="122" t="s">
        <v>275</v>
      </c>
      <c r="H70" s="272"/>
      <c r="I70" s="122" t="s">
        <v>276</v>
      </c>
      <c r="J70" s="274"/>
    </row>
    <row r="71" spans="1:11" ht="21" x14ac:dyDescent="0.3">
      <c r="B71" s="265"/>
      <c r="C71" s="123" t="s">
        <v>277</v>
      </c>
      <c r="D71" s="124" t="s">
        <v>278</v>
      </c>
      <c r="E71" s="117" t="s">
        <v>279</v>
      </c>
      <c r="F71" s="118" t="s">
        <v>280</v>
      </c>
      <c r="G71" s="119" t="s">
        <v>271</v>
      </c>
      <c r="H71" s="271" t="s">
        <v>314</v>
      </c>
      <c r="I71" s="119" t="s">
        <v>272</v>
      </c>
      <c r="J71" s="271" t="s">
        <v>314</v>
      </c>
    </row>
    <row r="72" spans="1:11" ht="42" customHeight="1" x14ac:dyDescent="0.3">
      <c r="B72" s="266"/>
      <c r="C72" s="125">
        <v>0.58333333333333337</v>
      </c>
      <c r="D72" s="125">
        <v>0.625</v>
      </c>
      <c r="E72" s="126" t="s">
        <v>281</v>
      </c>
      <c r="F72" s="121" t="s">
        <v>282</v>
      </c>
      <c r="G72" s="127" t="s">
        <v>275</v>
      </c>
      <c r="H72" s="272"/>
      <c r="I72" s="127" t="s">
        <v>276</v>
      </c>
      <c r="J72" s="272"/>
    </row>
    <row r="73" spans="1:11" ht="21.6" customHeight="1" x14ac:dyDescent="0.3">
      <c r="B73" s="128" t="s">
        <v>283</v>
      </c>
      <c r="C73" s="236">
        <v>202</v>
      </c>
      <c r="D73" s="236">
        <v>200</v>
      </c>
      <c r="E73" s="238">
        <f>1-(D73/C73)</f>
        <v>9.9009900990099098E-3</v>
      </c>
      <c r="F73" s="240" t="s">
        <v>284</v>
      </c>
      <c r="G73" s="243"/>
      <c r="H73" s="244"/>
      <c r="I73" s="244"/>
      <c r="J73" s="245"/>
    </row>
    <row r="74" spans="1:11" ht="21.6" customHeight="1" x14ac:dyDescent="0.3">
      <c r="B74" s="129" t="s">
        <v>285</v>
      </c>
      <c r="C74" s="237"/>
      <c r="D74" s="237"/>
      <c r="E74" s="239"/>
      <c r="F74" s="241"/>
      <c r="G74" s="246"/>
      <c r="H74" s="247"/>
      <c r="I74" s="247"/>
      <c r="J74" s="248"/>
    </row>
    <row r="75" spans="1:11" ht="21.6" customHeight="1" x14ac:dyDescent="0.3">
      <c r="B75" s="128" t="s">
        <v>286</v>
      </c>
      <c r="C75" s="236">
        <v>204</v>
      </c>
      <c r="D75" s="236">
        <v>201</v>
      </c>
      <c r="E75" s="238">
        <f>1-(D75/C75)</f>
        <v>1.4705882352941124E-2</v>
      </c>
      <c r="F75" s="241"/>
      <c r="G75" s="246"/>
      <c r="H75" s="247"/>
      <c r="I75" s="247"/>
      <c r="J75" s="248"/>
    </row>
    <row r="76" spans="1:11" ht="21.6" customHeight="1" x14ac:dyDescent="0.3">
      <c r="B76" s="129" t="s">
        <v>287</v>
      </c>
      <c r="C76" s="237"/>
      <c r="D76" s="237"/>
      <c r="E76" s="239"/>
      <c r="F76" s="241"/>
      <c r="G76" s="246"/>
      <c r="H76" s="247"/>
      <c r="I76" s="247"/>
      <c r="J76" s="248"/>
    </row>
    <row r="77" spans="1:11" ht="21" customHeight="1" x14ac:dyDescent="0.3">
      <c r="B77" s="128" t="s">
        <v>288</v>
      </c>
      <c r="C77" s="224"/>
      <c r="D77" s="224"/>
      <c r="E77" s="226" t="s">
        <v>308</v>
      </c>
      <c r="F77" s="241"/>
      <c r="G77" s="246"/>
      <c r="H77" s="247"/>
      <c r="I77" s="247"/>
      <c r="J77" s="248"/>
    </row>
    <row r="78" spans="1:11" ht="21" customHeight="1" x14ac:dyDescent="0.3">
      <c r="B78" s="129" t="s">
        <v>289</v>
      </c>
      <c r="C78" s="225"/>
      <c r="D78" s="225"/>
      <c r="E78" s="227"/>
      <c r="F78" s="242"/>
      <c r="G78" s="249"/>
      <c r="H78" s="250"/>
      <c r="I78" s="250"/>
      <c r="J78" s="251"/>
    </row>
    <row r="79" spans="1:11" s="74" customFormat="1" ht="21.6" customHeight="1" x14ac:dyDescent="0.3">
      <c r="A79" s="55"/>
      <c r="B79" s="128" t="s">
        <v>290</v>
      </c>
      <c r="C79" s="224"/>
      <c r="D79" s="224"/>
      <c r="E79" s="226" t="s">
        <v>1</v>
      </c>
      <c r="F79" s="130" t="s">
        <v>291</v>
      </c>
      <c r="G79" s="228" t="s">
        <v>324</v>
      </c>
      <c r="H79" s="230"/>
      <c r="I79" s="231"/>
      <c r="J79" s="232"/>
      <c r="K79" s="55"/>
    </row>
    <row r="80" spans="1:11" ht="21" customHeight="1" x14ac:dyDescent="0.3">
      <c r="B80" s="129" t="s">
        <v>292</v>
      </c>
      <c r="C80" s="225"/>
      <c r="D80" s="225"/>
      <c r="E80" s="227"/>
      <c r="F80" s="131" t="s">
        <v>293</v>
      </c>
      <c r="G80" s="229"/>
      <c r="H80" s="233"/>
      <c r="I80" s="234"/>
      <c r="J80" s="235"/>
    </row>
    <row r="81" spans="1:11" ht="30" customHeight="1" x14ac:dyDescent="0.3">
      <c r="A81" s="74"/>
      <c r="B81" s="132" t="s">
        <v>294</v>
      </c>
      <c r="C81" s="218" t="s">
        <v>307</v>
      </c>
      <c r="D81" s="220"/>
      <c r="E81" s="133" t="s">
        <v>295</v>
      </c>
      <c r="F81" s="216">
        <v>45838</v>
      </c>
      <c r="G81" s="133" t="s">
        <v>296</v>
      </c>
      <c r="H81" s="218" t="s">
        <v>313</v>
      </c>
      <c r="I81" s="219"/>
      <c r="J81" s="220"/>
      <c r="K81" s="74"/>
    </row>
    <row r="82" spans="1:11" ht="28.2" customHeight="1" x14ac:dyDescent="0.3">
      <c r="B82" s="134" t="s">
        <v>297</v>
      </c>
      <c r="C82" s="221"/>
      <c r="D82" s="223"/>
      <c r="E82" s="135" t="s">
        <v>298</v>
      </c>
      <c r="F82" s="217"/>
      <c r="G82" s="135" t="s">
        <v>0</v>
      </c>
      <c r="H82" s="221"/>
      <c r="I82" s="222"/>
      <c r="J82" s="223"/>
    </row>
    <row r="83" spans="1:11" x14ac:dyDescent="0.3">
      <c r="F83" s="136"/>
    </row>
    <row r="84" spans="1:11" x14ac:dyDescent="0.3">
      <c r="F84" s="136" t="s">
        <v>299</v>
      </c>
    </row>
  </sheetData>
  <mergeCells count="60">
    <mergeCell ref="D3:G3"/>
    <mergeCell ref="H3:H4"/>
    <mergeCell ref="I3:J4"/>
    <mergeCell ref="D4:G4"/>
    <mergeCell ref="H5:H6"/>
    <mergeCell ref="I5:J6"/>
    <mergeCell ref="C7:C8"/>
    <mergeCell ref="E7:F8"/>
    <mergeCell ref="G56:H56"/>
    <mergeCell ref="I56:I57"/>
    <mergeCell ref="J56:J57"/>
    <mergeCell ref="G57:H57"/>
    <mergeCell ref="H7:I8"/>
    <mergeCell ref="J7:J8"/>
    <mergeCell ref="I58:I59"/>
    <mergeCell ref="J58:J59"/>
    <mergeCell ref="G59:H59"/>
    <mergeCell ref="G60:H60"/>
    <mergeCell ref="I60:I61"/>
    <mergeCell ref="J60:J61"/>
    <mergeCell ref="G61:H61"/>
    <mergeCell ref="G58:H58"/>
    <mergeCell ref="G62:H62"/>
    <mergeCell ref="I62:I63"/>
    <mergeCell ref="J62:J63"/>
    <mergeCell ref="G63:H63"/>
    <mergeCell ref="G64:H64"/>
    <mergeCell ref="I64:I65"/>
    <mergeCell ref="J64:J65"/>
    <mergeCell ref="G65:H65"/>
    <mergeCell ref="B69:B72"/>
    <mergeCell ref="D69:E70"/>
    <mergeCell ref="H69:H70"/>
    <mergeCell ref="J69:J70"/>
    <mergeCell ref="H71:H72"/>
    <mergeCell ref="J71:J72"/>
    <mergeCell ref="G66:H66"/>
    <mergeCell ref="I66:I67"/>
    <mergeCell ref="J66:J67"/>
    <mergeCell ref="G67:H67"/>
    <mergeCell ref="B68:J68"/>
    <mergeCell ref="C73:C74"/>
    <mergeCell ref="D73:D74"/>
    <mergeCell ref="E73:E74"/>
    <mergeCell ref="F73:F78"/>
    <mergeCell ref="G73:J78"/>
    <mergeCell ref="C75:C76"/>
    <mergeCell ref="D75:D76"/>
    <mergeCell ref="E75:E76"/>
    <mergeCell ref="C77:C78"/>
    <mergeCell ref="F81:F82"/>
    <mergeCell ref="H81:J82"/>
    <mergeCell ref="D77:D78"/>
    <mergeCell ref="E77:E78"/>
    <mergeCell ref="C79:C80"/>
    <mergeCell ref="D79:D80"/>
    <mergeCell ref="E79:E80"/>
    <mergeCell ref="C81:D82"/>
    <mergeCell ref="G79:G80"/>
    <mergeCell ref="H79:J80"/>
  </mergeCells>
  <printOptions horizontalCentered="1" verticalCentered="1"/>
  <pageMargins left="0.39370078740157483" right="0.39370078740157483" top="0.39370078740157483" bottom="0.39370078740157483" header="0.51181102362204722" footer="0.51181102362204722"/>
  <pageSetup paperSize="9" scale="36" orientation="portrait" blackAndWhite="1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ontrol 1">
              <controlPr defaultSize="0" autoFill="0" autoLine="0" autoPict="0">
                <anchor moveWithCells="1">
                  <from>
                    <xdr:col>2</xdr:col>
                    <xdr:colOff>952500</xdr:colOff>
                    <xdr:row>9</xdr:row>
                    <xdr:rowOff>30480</xdr:rowOff>
                  </from>
                  <to>
                    <xdr:col>2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ontrol 2">
              <controlPr defaultSize="0" autoFill="0" autoLine="0" autoPict="0">
                <anchor moveWithCells="1">
                  <from>
                    <xdr:col>2</xdr:col>
                    <xdr:colOff>952500</xdr:colOff>
                    <xdr:row>11</xdr:row>
                    <xdr:rowOff>30480</xdr:rowOff>
                  </from>
                  <to>
                    <xdr:col>2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ontrol 3">
              <controlPr defaultSize="0" autoFill="0" autoLine="0" autoPict="0">
                <anchor moveWithCells="1">
                  <from>
                    <xdr:col>2</xdr:col>
                    <xdr:colOff>952500</xdr:colOff>
                    <xdr:row>13</xdr:row>
                    <xdr:rowOff>30480</xdr:rowOff>
                  </from>
                  <to>
                    <xdr:col>2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ontrol 4">
              <controlPr defaultSize="0" autoFill="0" autoLine="0" autoPict="0">
                <anchor moveWithCells="1">
                  <from>
                    <xdr:col>2</xdr:col>
                    <xdr:colOff>952500</xdr:colOff>
                    <xdr:row>15</xdr:row>
                    <xdr:rowOff>30480</xdr:rowOff>
                  </from>
                  <to>
                    <xdr:col>2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8" name="Control 5">
              <controlPr defaultSize="0" autoFill="0" autoLine="0" autoPict="0">
                <anchor moveWithCells="1">
                  <from>
                    <xdr:col>2</xdr:col>
                    <xdr:colOff>952500</xdr:colOff>
                    <xdr:row>17</xdr:row>
                    <xdr:rowOff>30480</xdr:rowOff>
                  </from>
                  <to>
                    <xdr:col>2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9" name="Control 6">
              <controlPr defaultSize="0" autoFill="0" autoLine="0" autoPict="0">
                <anchor moveWithCells="1">
                  <from>
                    <xdr:col>2</xdr:col>
                    <xdr:colOff>952500</xdr:colOff>
                    <xdr:row>19</xdr:row>
                    <xdr:rowOff>30480</xdr:rowOff>
                  </from>
                  <to>
                    <xdr:col>2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10" name="Control 7">
              <controlPr defaultSize="0" autoFill="0" autoLine="0" autoPict="0">
                <anchor moveWithCells="1">
                  <from>
                    <xdr:col>2</xdr:col>
                    <xdr:colOff>952500</xdr:colOff>
                    <xdr:row>21</xdr:row>
                    <xdr:rowOff>30480</xdr:rowOff>
                  </from>
                  <to>
                    <xdr:col>2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11" name="Control 8">
              <controlPr defaultSize="0" autoFill="0" autoLine="0" autoPict="0">
                <anchor moveWithCells="1">
                  <from>
                    <xdr:col>2</xdr:col>
                    <xdr:colOff>952500</xdr:colOff>
                    <xdr:row>23</xdr:row>
                    <xdr:rowOff>30480</xdr:rowOff>
                  </from>
                  <to>
                    <xdr:col>2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12" name="Control 9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13" name="Control 10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4" name="Control 1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5" name="Control 12">
              <controlPr defaultSize="0" autoFill="0" autoLine="0" autoPict="0">
                <anchor moveWithCells="1">
                  <from>
                    <xdr:col>2</xdr:col>
                    <xdr:colOff>952500</xdr:colOff>
                    <xdr:row>29</xdr:row>
                    <xdr:rowOff>30480</xdr:rowOff>
                  </from>
                  <to>
                    <xdr:col>2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6" name="Control 13">
              <controlPr defaultSize="0" autoFill="0" autoLine="0" autoPict="0">
                <anchor moveWithCells="1">
                  <from>
                    <xdr:col>2</xdr:col>
                    <xdr:colOff>952500</xdr:colOff>
                    <xdr:row>31</xdr:row>
                    <xdr:rowOff>30480</xdr:rowOff>
                  </from>
                  <to>
                    <xdr:col>2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7" name="Control 14">
              <controlPr defaultSize="0" autoFill="0" autoLine="0" autoPict="0">
                <anchor moveWithCells="1">
                  <from>
                    <xdr:col>2</xdr:col>
                    <xdr:colOff>952500</xdr:colOff>
                    <xdr:row>33</xdr:row>
                    <xdr:rowOff>30480</xdr:rowOff>
                  </from>
                  <to>
                    <xdr:col>2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8" name="Control 15">
              <controlPr defaultSize="0" autoFill="0" autoLine="0" autoPict="0">
                <anchor moveWithCells="1">
                  <from>
                    <xdr:col>2</xdr:col>
                    <xdr:colOff>952500</xdr:colOff>
                    <xdr:row>35</xdr:row>
                    <xdr:rowOff>30480</xdr:rowOff>
                  </from>
                  <to>
                    <xdr:col>2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9" name="Control 16">
              <controlPr defaultSize="0" autoFill="0" autoLine="0" autoPict="0">
                <anchor moveWithCells="1">
                  <from>
                    <xdr:col>2</xdr:col>
                    <xdr:colOff>952500</xdr:colOff>
                    <xdr:row>37</xdr:row>
                    <xdr:rowOff>30480</xdr:rowOff>
                  </from>
                  <to>
                    <xdr:col>2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20" name="Control 17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21" name="Control 18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22" name="Control 19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23" name="Control 20">
              <controlPr defaultSize="0" autoFill="0" autoLine="0" autoPict="0">
                <anchor moveWithCells="1">
                  <from>
                    <xdr:col>2</xdr:col>
                    <xdr:colOff>952500</xdr:colOff>
                    <xdr:row>41</xdr:row>
                    <xdr:rowOff>30480</xdr:rowOff>
                  </from>
                  <to>
                    <xdr:col>2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24" name="Control 21">
              <controlPr defaultSize="0" autoFill="0" autoLine="0" autoPict="0">
                <anchor moveWithCells="1">
                  <from>
                    <xdr:col>2</xdr:col>
                    <xdr:colOff>952500</xdr:colOff>
                    <xdr:row>43</xdr:row>
                    <xdr:rowOff>30480</xdr:rowOff>
                  </from>
                  <to>
                    <xdr:col>2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25" name="Control 22">
              <controlPr defaultSize="0" autoFill="0" autoLine="0" autoPict="0">
                <anchor moveWithCells="1">
                  <from>
                    <xdr:col>2</xdr:col>
                    <xdr:colOff>952500</xdr:colOff>
                    <xdr:row>45</xdr:row>
                    <xdr:rowOff>30480</xdr:rowOff>
                  </from>
                  <to>
                    <xdr:col>3</xdr:col>
                    <xdr:colOff>7620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26" name="Control 23">
              <controlPr defaultSize="0" autoFill="0" autoLine="0" autoPict="0">
                <anchor moveWithCells="1">
                  <from>
                    <xdr:col>2</xdr:col>
                    <xdr:colOff>952500</xdr:colOff>
                    <xdr:row>47</xdr:row>
                    <xdr:rowOff>30480</xdr:rowOff>
                  </from>
                  <to>
                    <xdr:col>2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27" name="Control 24">
              <controlPr defaultSize="0" autoFill="0" autoLine="0" autoPict="0">
                <anchor moveWithCells="1">
                  <from>
                    <xdr:col>2</xdr:col>
                    <xdr:colOff>952500</xdr:colOff>
                    <xdr:row>49</xdr:row>
                    <xdr:rowOff>30480</xdr:rowOff>
                  </from>
                  <to>
                    <xdr:col>2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28" name="Control 25">
              <controlPr defaultSize="0" autoFill="0" autoLine="0" autoPict="0">
                <anchor moveWithCells="1">
                  <from>
                    <xdr:col>2</xdr:col>
                    <xdr:colOff>952500</xdr:colOff>
                    <xdr:row>51</xdr:row>
                    <xdr:rowOff>30480</xdr:rowOff>
                  </from>
                  <to>
                    <xdr:col>2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29" name="Control 26">
              <controlPr defaultSize="0" autoFill="0" autoLine="0" autoPict="0">
                <anchor moveWithCells="1">
                  <from>
                    <xdr:col>2</xdr:col>
                    <xdr:colOff>952500</xdr:colOff>
                    <xdr:row>53</xdr:row>
                    <xdr:rowOff>30480</xdr:rowOff>
                  </from>
                  <to>
                    <xdr:col>2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30" name="Control 27">
              <controlPr defaultSize="0" autoFill="0" autoLine="0" autoPict="0">
                <anchor moveWithCells="1">
                  <from>
                    <xdr:col>2</xdr:col>
                    <xdr:colOff>952500</xdr:colOff>
                    <xdr:row>55</xdr:row>
                    <xdr:rowOff>0</xdr:rowOff>
                  </from>
                  <to>
                    <xdr:col>2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31" name="Control 28">
              <controlPr defaultSize="0" autoFill="0" autoLine="0" autoPict="0">
                <anchor moveWithCells="1">
                  <from>
                    <xdr:col>2</xdr:col>
                    <xdr:colOff>952500</xdr:colOff>
                    <xdr:row>57</xdr:row>
                    <xdr:rowOff>30480</xdr:rowOff>
                  </from>
                  <to>
                    <xdr:col>2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32" name="Control 29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33" name="Control 30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34" name="Control 31">
              <controlPr defaultSize="0" autoFill="0" autoLine="0" autoPict="0">
                <anchor moveWithCells="1">
                  <from>
                    <xdr:col>5</xdr:col>
                    <xdr:colOff>952500</xdr:colOff>
                    <xdr:row>9</xdr:row>
                    <xdr:rowOff>30480</xdr:rowOff>
                  </from>
                  <to>
                    <xdr:col>5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35" name="Control 32">
              <controlPr defaultSize="0" autoFill="0" autoLine="0" autoPict="0">
                <anchor moveWithCells="1">
                  <from>
                    <xdr:col>5</xdr:col>
                    <xdr:colOff>952500</xdr:colOff>
                    <xdr:row>11</xdr:row>
                    <xdr:rowOff>30480</xdr:rowOff>
                  </from>
                  <to>
                    <xdr:col>5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36" name="Control 33">
              <controlPr defaultSize="0" autoFill="0" autoLine="0" autoPict="0">
                <anchor moveWithCells="1">
                  <from>
                    <xdr:col>5</xdr:col>
                    <xdr:colOff>952500</xdr:colOff>
                    <xdr:row>13</xdr:row>
                    <xdr:rowOff>30480</xdr:rowOff>
                  </from>
                  <to>
                    <xdr:col>5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37" name="Control 34">
              <controlPr defaultSize="0" autoFill="0" autoLine="0" autoPict="0">
                <anchor moveWithCells="1">
                  <from>
                    <xdr:col>5</xdr:col>
                    <xdr:colOff>952500</xdr:colOff>
                    <xdr:row>15</xdr:row>
                    <xdr:rowOff>30480</xdr:rowOff>
                  </from>
                  <to>
                    <xdr:col>5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38" name="Control 35">
              <controlPr defaultSize="0" autoFill="0" autoLine="0" autoPict="0">
                <anchor moveWithCells="1">
                  <from>
                    <xdr:col>5</xdr:col>
                    <xdr:colOff>952500</xdr:colOff>
                    <xdr:row>17</xdr:row>
                    <xdr:rowOff>30480</xdr:rowOff>
                  </from>
                  <to>
                    <xdr:col>5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4" r:id="rId39" name="Control 36">
              <controlPr defaultSize="0" autoFill="0" autoLine="0" autoPict="0">
                <anchor moveWithCells="1">
                  <from>
                    <xdr:col>5</xdr:col>
                    <xdr:colOff>952500</xdr:colOff>
                    <xdr:row>19</xdr:row>
                    <xdr:rowOff>30480</xdr:rowOff>
                  </from>
                  <to>
                    <xdr:col>5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5" r:id="rId40" name="Control 37">
              <controlPr defaultSize="0" autoFill="0" autoLine="0" autoPict="0">
                <anchor moveWithCells="1">
                  <from>
                    <xdr:col>5</xdr:col>
                    <xdr:colOff>952500</xdr:colOff>
                    <xdr:row>21</xdr:row>
                    <xdr:rowOff>30480</xdr:rowOff>
                  </from>
                  <to>
                    <xdr:col>5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6" r:id="rId41" name="Control 38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7" r:id="rId42" name="Control 39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8" r:id="rId43" name="Control 40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9" r:id="rId44" name="Control 41">
              <controlPr defaultSize="0" autoFill="0" autoLine="0" autoPict="0">
                <anchor moveWithCells="1">
                  <from>
                    <xdr:col>5</xdr:col>
                    <xdr:colOff>952500</xdr:colOff>
                    <xdr:row>25</xdr:row>
                    <xdr:rowOff>30480</xdr:rowOff>
                  </from>
                  <to>
                    <xdr:col>5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0" r:id="rId45" name="Control 42">
              <controlPr defaultSize="0" autoFill="0" autoLine="0" autoPict="0">
                <anchor moveWithCells="1">
                  <from>
                    <xdr:col>5</xdr:col>
                    <xdr:colOff>952500</xdr:colOff>
                    <xdr:row>27</xdr:row>
                    <xdr:rowOff>30480</xdr:rowOff>
                  </from>
                  <to>
                    <xdr:col>5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1" r:id="rId46" name="Control 43">
              <controlPr defaultSize="0" autoFill="0" autoLine="0" autoPict="0">
                <anchor moveWithCells="1">
                  <from>
                    <xdr:col>5</xdr:col>
                    <xdr:colOff>952500</xdr:colOff>
                    <xdr:row>29</xdr:row>
                    <xdr:rowOff>30480</xdr:rowOff>
                  </from>
                  <to>
                    <xdr:col>5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47" name="Control 44">
              <controlPr defaultSize="0" autoFill="0" autoLine="0" autoPict="0">
                <anchor moveWithCells="1">
                  <from>
                    <xdr:col>5</xdr:col>
                    <xdr:colOff>952500</xdr:colOff>
                    <xdr:row>31</xdr:row>
                    <xdr:rowOff>30480</xdr:rowOff>
                  </from>
                  <to>
                    <xdr:col>5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3" r:id="rId48" name="Control 45">
              <controlPr defaultSize="0" autoFill="0" autoLine="0" autoPict="0">
                <anchor moveWithCells="1">
                  <from>
                    <xdr:col>5</xdr:col>
                    <xdr:colOff>952500</xdr:colOff>
                    <xdr:row>33</xdr:row>
                    <xdr:rowOff>30480</xdr:rowOff>
                  </from>
                  <to>
                    <xdr:col>5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4" r:id="rId49" name="Control 46">
              <controlPr defaultSize="0" autoFill="0" autoLine="0" autoPict="0">
                <anchor moveWithCells="1">
                  <from>
                    <xdr:col>5</xdr:col>
                    <xdr:colOff>952500</xdr:colOff>
                    <xdr:row>35</xdr:row>
                    <xdr:rowOff>30480</xdr:rowOff>
                  </from>
                  <to>
                    <xdr:col>5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50" name="Control 47">
              <controlPr defaultSize="0" autoFill="0" autoLine="0" autoPict="0">
                <anchor moveWithCells="1">
                  <from>
                    <xdr:col>5</xdr:col>
                    <xdr:colOff>952500</xdr:colOff>
                    <xdr:row>37</xdr:row>
                    <xdr:rowOff>30480</xdr:rowOff>
                  </from>
                  <to>
                    <xdr:col>5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6" r:id="rId51" name="Control 48">
              <controlPr defaultSize="0" autoFill="0" autoLine="0" autoPict="0">
                <anchor moveWithCells="1">
                  <from>
                    <xdr:col>5</xdr:col>
                    <xdr:colOff>952500</xdr:colOff>
                    <xdr:row>39</xdr:row>
                    <xdr:rowOff>30480</xdr:rowOff>
                  </from>
                  <to>
                    <xdr:col>5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7" r:id="rId52" name="Control 49">
              <controlPr defaultSize="0" autoFill="0" autoLine="0" autoPict="0">
                <anchor moveWithCells="1">
                  <from>
                    <xdr:col>5</xdr:col>
                    <xdr:colOff>952500</xdr:colOff>
                    <xdr:row>41</xdr:row>
                    <xdr:rowOff>30480</xdr:rowOff>
                  </from>
                  <to>
                    <xdr:col>5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8" r:id="rId53" name="Control 50">
              <controlPr defaultSize="0" autoFill="0" autoLine="0" autoPict="0">
                <anchor moveWithCells="1">
                  <from>
                    <xdr:col>5</xdr:col>
                    <xdr:colOff>952500</xdr:colOff>
                    <xdr:row>43</xdr:row>
                    <xdr:rowOff>30480</xdr:rowOff>
                  </from>
                  <to>
                    <xdr:col>5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" r:id="rId54" name="Control 51">
              <controlPr defaultSize="0" autoFill="0" autoLine="0" autoPict="0">
                <anchor moveWithCells="1">
                  <from>
                    <xdr:col>5</xdr:col>
                    <xdr:colOff>952500</xdr:colOff>
                    <xdr:row>45</xdr:row>
                    <xdr:rowOff>30480</xdr:rowOff>
                  </from>
                  <to>
                    <xdr:col>5</xdr:col>
                    <xdr:colOff>2042160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0" r:id="rId55" name="Control 5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1" r:id="rId56" name="Control 5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2" r:id="rId57" name="Control 54">
              <controlPr defaultSize="0" autoFill="0" autoLine="0" autoPict="0">
                <anchor moveWithCells="1">
                  <from>
                    <xdr:col>5</xdr:col>
                    <xdr:colOff>952500</xdr:colOff>
                    <xdr:row>51</xdr:row>
                    <xdr:rowOff>30480</xdr:rowOff>
                  </from>
                  <to>
                    <xdr:col>5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3" r:id="rId58" name="Control 55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4" r:id="rId59" name="Control 56">
              <controlPr defaultSize="0" autoFill="0" autoLine="0" autoPict="0">
                <anchor moveWithCells="1">
                  <from>
                    <xdr:col>5</xdr:col>
                    <xdr:colOff>952500</xdr:colOff>
                    <xdr:row>55</xdr:row>
                    <xdr:rowOff>0</xdr:rowOff>
                  </from>
                  <to>
                    <xdr:col>5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5" r:id="rId60" name="Control 57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6" r:id="rId61" name="Control 58">
              <controlPr defaultSize="0" autoFill="0" autoLine="0" autoPict="0">
                <anchor moveWithCells="1">
                  <from>
                    <xdr:col>5</xdr:col>
                    <xdr:colOff>952500</xdr:colOff>
                    <xdr:row>59</xdr:row>
                    <xdr:rowOff>30480</xdr:rowOff>
                  </from>
                  <to>
                    <xdr:col>5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7" r:id="rId62" name="Control 59">
              <controlPr defaultSize="0" autoFill="0" autoLine="0" autoPict="0">
                <anchor moveWithCells="1">
                  <from>
                    <xdr:col>8</xdr:col>
                    <xdr:colOff>952500</xdr:colOff>
                    <xdr:row>9</xdr:row>
                    <xdr:rowOff>30480</xdr:rowOff>
                  </from>
                  <to>
                    <xdr:col>9</xdr:col>
                    <xdr:colOff>716280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8" r:id="rId63" name="Control 60">
              <controlPr defaultSize="0" autoFill="0" autoLine="0" autoPict="0">
                <anchor moveWithCells="1">
                  <from>
                    <xdr:col>8</xdr:col>
                    <xdr:colOff>952500</xdr:colOff>
                    <xdr:row>11</xdr:row>
                    <xdr:rowOff>30480</xdr:rowOff>
                  </from>
                  <to>
                    <xdr:col>9</xdr:col>
                    <xdr:colOff>716280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9" r:id="rId64" name="Control 61">
              <controlPr defaultSize="0" autoFill="0" autoLine="0" autoPict="0">
                <anchor moveWithCells="1">
                  <from>
                    <xdr:col>8</xdr:col>
                    <xdr:colOff>952500</xdr:colOff>
                    <xdr:row>13</xdr:row>
                    <xdr:rowOff>30480</xdr:rowOff>
                  </from>
                  <to>
                    <xdr:col>9</xdr:col>
                    <xdr:colOff>716280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0" r:id="rId65" name="Control 62">
              <controlPr defaultSize="0" autoFill="0" autoLine="0" autoPict="0">
                <anchor moveWithCells="1">
                  <from>
                    <xdr:col>8</xdr:col>
                    <xdr:colOff>952500</xdr:colOff>
                    <xdr:row>15</xdr:row>
                    <xdr:rowOff>30480</xdr:rowOff>
                  </from>
                  <to>
                    <xdr:col>9</xdr:col>
                    <xdr:colOff>716280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1" r:id="rId66" name="Control 63">
              <controlPr defaultSize="0" autoFill="0" autoLine="0" autoPict="0">
                <anchor moveWithCells="1">
                  <from>
                    <xdr:col>8</xdr:col>
                    <xdr:colOff>952500</xdr:colOff>
                    <xdr:row>17</xdr:row>
                    <xdr:rowOff>30480</xdr:rowOff>
                  </from>
                  <to>
                    <xdr:col>9</xdr:col>
                    <xdr:colOff>716280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2" r:id="rId67" name="Control 64">
              <controlPr defaultSize="0" autoFill="0" autoLine="0" autoPict="0">
                <anchor moveWithCells="1">
                  <from>
                    <xdr:col>8</xdr:col>
                    <xdr:colOff>952500</xdr:colOff>
                    <xdr:row>19</xdr:row>
                    <xdr:rowOff>30480</xdr:rowOff>
                  </from>
                  <to>
                    <xdr:col>9</xdr:col>
                    <xdr:colOff>716280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3" r:id="rId68" name="Control 65">
              <controlPr defaultSize="0" autoFill="0" autoLine="0" autoPict="0">
                <anchor moveWithCells="1">
                  <from>
                    <xdr:col>8</xdr:col>
                    <xdr:colOff>952500</xdr:colOff>
                    <xdr:row>21</xdr:row>
                    <xdr:rowOff>30480</xdr:rowOff>
                  </from>
                  <to>
                    <xdr:col>9</xdr:col>
                    <xdr:colOff>716280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4" r:id="rId69" name="Control 66">
              <controlPr defaultSize="0" autoFill="0" autoLine="0" autoPict="0">
                <anchor moveWithCells="1">
                  <from>
                    <xdr:col>8</xdr:col>
                    <xdr:colOff>952500</xdr:colOff>
                    <xdr:row>23</xdr:row>
                    <xdr:rowOff>30480</xdr:rowOff>
                  </from>
                  <to>
                    <xdr:col>9</xdr:col>
                    <xdr:colOff>716280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5" r:id="rId70" name="Control 67">
              <controlPr defaultSize="0" autoFill="0" autoLine="0" autoPict="0">
                <anchor moveWithCells="1">
                  <from>
                    <xdr:col>8</xdr:col>
                    <xdr:colOff>952500</xdr:colOff>
                    <xdr:row>25</xdr:row>
                    <xdr:rowOff>30480</xdr:rowOff>
                  </from>
                  <to>
                    <xdr:col>9</xdr:col>
                    <xdr:colOff>716280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" r:id="rId71" name="Control 68">
              <controlPr defaultSize="0" autoFill="0" autoLine="0" autoPict="0">
                <anchor moveWithCells="1">
                  <from>
                    <xdr:col>8</xdr:col>
                    <xdr:colOff>952500</xdr:colOff>
                    <xdr:row>27</xdr:row>
                    <xdr:rowOff>30480</xdr:rowOff>
                  </from>
                  <to>
                    <xdr:col>9</xdr:col>
                    <xdr:colOff>716280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7" r:id="rId72" name="Control 69">
              <controlPr defaultSize="0" autoFill="0" autoLine="0" autoPict="0">
                <anchor moveWithCells="1">
                  <from>
                    <xdr:col>8</xdr:col>
                    <xdr:colOff>952500</xdr:colOff>
                    <xdr:row>29</xdr:row>
                    <xdr:rowOff>30480</xdr:rowOff>
                  </from>
                  <to>
                    <xdr:col>9</xdr:col>
                    <xdr:colOff>716280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8" r:id="rId73" name="Control 70">
              <controlPr defaultSize="0" autoFill="0" autoLine="0" autoPict="0">
                <anchor moveWithCells="1">
                  <from>
                    <xdr:col>8</xdr:col>
                    <xdr:colOff>952500</xdr:colOff>
                    <xdr:row>31</xdr:row>
                    <xdr:rowOff>30480</xdr:rowOff>
                  </from>
                  <to>
                    <xdr:col>9</xdr:col>
                    <xdr:colOff>716280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" r:id="rId74" name="Control 71">
              <controlPr defaultSize="0" autoFill="0" autoLine="0" autoPict="0">
                <anchor moveWithCells="1">
                  <from>
                    <xdr:col>8</xdr:col>
                    <xdr:colOff>952500</xdr:colOff>
                    <xdr:row>35</xdr:row>
                    <xdr:rowOff>30480</xdr:rowOff>
                  </from>
                  <to>
                    <xdr:col>9</xdr:col>
                    <xdr:colOff>716280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0" r:id="rId75" name="Control 72">
              <controlPr defaultSize="0" autoFill="0" autoLine="0" autoPict="0">
                <anchor moveWithCells="1">
                  <from>
                    <xdr:col>8</xdr:col>
                    <xdr:colOff>952500</xdr:colOff>
                    <xdr:row>37</xdr:row>
                    <xdr:rowOff>30480</xdr:rowOff>
                  </from>
                  <to>
                    <xdr:col>9</xdr:col>
                    <xdr:colOff>716280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1" r:id="rId76" name="Control 73">
              <controlPr defaultSize="0" autoFill="0" autoLine="0" autoPict="0">
                <anchor moveWithCells="1">
                  <from>
                    <xdr:col>8</xdr:col>
                    <xdr:colOff>952500</xdr:colOff>
                    <xdr:row>39</xdr:row>
                    <xdr:rowOff>30480</xdr:rowOff>
                  </from>
                  <to>
                    <xdr:col>9</xdr:col>
                    <xdr:colOff>716280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2" r:id="rId77" name="Control 74">
              <controlPr defaultSize="0" autoFill="0" autoLine="0" autoPict="0">
                <anchor moveWithCells="1">
                  <from>
                    <xdr:col>8</xdr:col>
                    <xdr:colOff>952500</xdr:colOff>
                    <xdr:row>41</xdr:row>
                    <xdr:rowOff>30480</xdr:rowOff>
                  </from>
                  <to>
                    <xdr:col>9</xdr:col>
                    <xdr:colOff>716280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3" r:id="rId78" name="Control 75">
              <controlPr defaultSize="0" autoFill="0" autoLine="0" autoPict="0">
                <anchor moveWithCells="1">
                  <from>
                    <xdr:col>8</xdr:col>
                    <xdr:colOff>952500</xdr:colOff>
                    <xdr:row>43</xdr:row>
                    <xdr:rowOff>30480</xdr:rowOff>
                  </from>
                  <to>
                    <xdr:col>9</xdr:col>
                    <xdr:colOff>716280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4" r:id="rId79" name="Control 76">
              <controlPr defaultSize="0" autoFill="0" autoLine="0" autoPict="0">
                <anchor moveWithCells="1">
                  <from>
                    <xdr:col>8</xdr:col>
                    <xdr:colOff>952500</xdr:colOff>
                    <xdr:row>45</xdr:row>
                    <xdr:rowOff>30480</xdr:rowOff>
                  </from>
                  <to>
                    <xdr:col>9</xdr:col>
                    <xdr:colOff>716280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5" r:id="rId80" name="Control 77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6" r:id="rId81" name="Control 78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7" r:id="rId82" name="Control 79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8" r:id="rId83" name="Control 80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9" r:id="rId84" name="Control 8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0" r:id="rId85" name="Control 8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1" r:id="rId86" name="Control 8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2" r:id="rId87" name="Control 84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3" r:id="rId88" name="Control 85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4" r:id="rId89" name="Control 8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5" r:id="rId90" name="Control 8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6" r:id="rId91" name="Control 88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7" r:id="rId92" name="Control 89">
              <controlPr defaultSize="0" autoFill="0" autoLine="0" autoPict="0">
                <anchor moveWithCells="1">
                  <from>
                    <xdr:col>8</xdr:col>
                    <xdr:colOff>952500</xdr:colOff>
                    <xdr:row>53</xdr:row>
                    <xdr:rowOff>30480</xdr:rowOff>
                  </from>
                  <to>
                    <xdr:col>9</xdr:col>
                    <xdr:colOff>716280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8" r:id="rId93" name="Control 90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9" r:id="rId94" name="Control 91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0" r:id="rId95" name="Control 92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1" r:id="rId96" name="Control 93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2" r:id="rId97" name="Control 94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3" r:id="rId98" name="Control 95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4" r:id="rId99" name="Control 9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5" r:id="rId100" name="Control 9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6" r:id="rId101" name="Control 98">
              <controlPr defaultSize="0" autoFill="0" autoLine="0" autoPict="0">
                <anchor moveWithCells="1">
                  <from>
                    <xdr:col>5</xdr:col>
                    <xdr:colOff>952500</xdr:colOff>
                    <xdr:row>61</xdr:row>
                    <xdr:rowOff>30480</xdr:rowOff>
                  </from>
                  <to>
                    <xdr:col>5</xdr:col>
                    <xdr:colOff>2042160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7" r:id="rId102" name="Control 99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8" r:id="rId103" name="Control 100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9" r:id="rId104" name="Control 101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" r:id="rId105" name="Control 102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" r:id="rId106" name="Control 103">
              <controlPr defaultSize="0" autoFill="0" autoLine="0" autoPict="0">
                <anchor moveWithCells="1">
                  <from>
                    <xdr:col>5</xdr:col>
                    <xdr:colOff>952500</xdr:colOff>
                    <xdr:row>65</xdr:row>
                    <xdr:rowOff>30480</xdr:rowOff>
                  </from>
                  <to>
                    <xdr:col>5</xdr:col>
                    <xdr:colOff>2042160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" r:id="rId107" name="Control 104">
              <controlPr defaultSize="0" autoFill="0" autoLine="0" autoPict="0">
                <anchor moveWithCells="1">
                  <from>
                    <xdr:col>5</xdr:col>
                    <xdr:colOff>952500</xdr:colOff>
                    <xdr:row>63</xdr:row>
                    <xdr:rowOff>30480</xdr:rowOff>
                  </from>
                  <to>
                    <xdr:col>5</xdr:col>
                    <xdr:colOff>2042160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3" r:id="rId108" name="Control 105">
              <controlPr defaultSize="0" autoFill="0" autoLine="0" autoPict="0">
                <anchor moveWithCells="1">
                  <from>
                    <xdr:col>8</xdr:col>
                    <xdr:colOff>952500</xdr:colOff>
                    <xdr:row>33</xdr:row>
                    <xdr:rowOff>30480</xdr:rowOff>
                  </from>
                  <to>
                    <xdr:col>9</xdr:col>
                    <xdr:colOff>716280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4" r:id="rId109" name="Control 106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5" r:id="rId110" name="Control 107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7" r:id="rId111" name="Control 109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8" r:id="rId112" name="Control 110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9" r:id="rId113" name="Control 111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0" r:id="rId114" name="Control 112">
              <controlPr defaultSize="0" autoFill="0" autoLine="0" autoPict="0">
                <anchor moveWithCells="1">
                  <from>
                    <xdr:col>8</xdr:col>
                    <xdr:colOff>952500</xdr:colOff>
                    <xdr:row>17</xdr:row>
                    <xdr:rowOff>30480</xdr:rowOff>
                  </from>
                  <to>
                    <xdr:col>9</xdr:col>
                    <xdr:colOff>716280</xdr:colOff>
                    <xdr:row>18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2</vt:i4>
      </vt:variant>
      <vt:variant>
        <vt:lpstr>Intervalos com Nome</vt:lpstr>
      </vt:variant>
      <vt:variant>
        <vt:i4>2</vt:i4>
      </vt:variant>
    </vt:vector>
  </HeadingPairs>
  <TitlesOfParts>
    <vt:vector size="4" baseType="lpstr">
      <vt:lpstr>CERTIFICADO</vt:lpstr>
      <vt:lpstr>QUADRO</vt:lpstr>
      <vt:lpstr>CERTIFICADO!Área_de_Impressão</vt:lpstr>
      <vt:lpstr>QUADRO!Área_de_Impressão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Júlio Correa</cp:lastModifiedBy>
  <cp:lastPrinted>2025-07-10T15:30:25Z</cp:lastPrinted>
  <dcterms:created xsi:type="dcterms:W3CDTF">2001-08-01T17:12:05Z</dcterms:created>
  <dcterms:modified xsi:type="dcterms:W3CDTF">2025-07-10T15:30:29Z</dcterms:modified>
</cp:coreProperties>
</file>