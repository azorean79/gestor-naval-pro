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66F73A7-EFC6-406D-A7F1-CED9CDA7C454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<sst xmlns="http://schemas.openxmlformats.org/spreadsheetml/2006/main" count="129" uniqueCount="109">
  <si>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</si>
  <si>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</si>
  <si>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</si>
  <si>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</si>
  <si>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</si>
  <si>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</si>
  <si>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</si>
  <si>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</si>
  <si>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</si>
  <si>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</si>
  <si>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</si>
  <si>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</si>
  <si>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</si>
  <si>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</si>
  <si>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</si>
  <si>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</si>
  <si>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</si>
  <si>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</si>
  <si>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</si>
  <si>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</si>
  <si>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</si>
  <si>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</si>
  <si>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</si>
  <si>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</si>
  <si>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</si>
  <si>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</si>
  <si>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</si>
  <si>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</si>
  <si>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</si>
  <si>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</si>
  <si>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</si>
  <si>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</si>
  <si>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</si>
  <si>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</si>
  <si>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</si>
  <si>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</si>
  <si>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</si>
  <si>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</si>
  <si>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</si>
  <si>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</si>
  <si>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</si>
  <si>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</si>
  <si>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</si>
  <si>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</si>
  <si>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</si>
  <si>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</si>
  <si>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</si>
  <si>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</si>
  <si>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</si>
  <si>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</si>
  <si>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</si>
  <si>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</si>
  <si>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</si>
  <si>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</si>
  <si>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</si>
  <si>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</si>
  <si>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</si>
  <si>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</si>
  <si>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</si>
  <si>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</si>
  <si>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</si>
  <si>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</si>
  <si>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</si>
  <si>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</si>
  <si>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</si>
  <si>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</si>
  <si>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</si>
  <si>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</si>
  <si>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</si>
  <si>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</si>
  <si>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</si>
  <si>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</si>
  <si>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</si>
  <si>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</si>
  <si>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</si>
  <si>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</si>
  <si>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</si>
  <si>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</si>
  <si>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</si>
  <si>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</si>
  <si>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</si>
  <si>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</si>
  <si>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</si>
  <si>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</si>
  <si>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</si>
  <si>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</si>
  <si>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</si>
  <si>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</si>
  <si>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</si>
  <si>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</si>
  <si>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</si>
  <si>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</si>
  <si>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</si>
  <si>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</si>
  <si>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6</t>
  </si>
  <si>
    <t xml:space="preserve">RFD SEASAVA </t>
  </si>
  <si>
    <t>SIMP E</t>
  </si>
  <si>
    <t>4581700300516</t>
  </si>
  <si>
    <t>509703</t>
  </si>
  <si>
    <t>GUERNICA</t>
  </si>
  <si>
    <t>50937 OREY TECNICA</t>
  </si>
  <si>
    <t>11/2006</t>
  </si>
  <si>
    <t>PEDRO BETTENCOURT</t>
  </si>
  <si>
    <t>05/2027</t>
  </si>
  <si>
    <t>YES</t>
  </si>
  <si>
    <t>06/24</t>
  </si>
  <si>
    <t>AZ25-206</t>
  </si>
  <si>
    <t>10/2026</t>
  </si>
  <si>
    <t>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</si>
</sst>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45720</xdr:colOff>
      <xdr:row>48</xdr:row>
      <xdr:rowOff>114300</xdr:rowOff>
    </xdr:from>
    <xdr:to>
      <xdr:col>23</xdr:col>
      <xdr:colOff>272064</xdr:colOff>
      <xdr:row>58</xdr:row>
      <xdr:rowOff>99060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EABCFA-9514-4E85-BBD5-BBA33AE4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1460" y="782574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5" zoomScaleNormal="100" workbookViewId="0">
      <selection activeCell="C48" sqref="C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9" t="s">
        <v>75</v>
      </c>
      <c r="J3" s="129"/>
      <c r="K3" s="125" t="s">
        <v>106</v>
      </c>
      <c r="L3" s="126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7" t="s">
        <v>67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8" t="s">
        <v>77</v>
      </c>
      <c r="C8" s="128"/>
      <c r="D8" s="128"/>
      <c r="E8" s="128"/>
      <c r="F8" s="128"/>
      <c r="G8" s="128"/>
      <c r="H8" s="128"/>
      <c r="I8" s="128"/>
      <c r="J8" s="128"/>
      <c r="K8" s="128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95</v>
      </c>
      <c r="D12" s="88"/>
      <c r="E12" s="130"/>
      <c r="F12" s="78"/>
      <c r="G12" s="106" t="s">
        <v>94</v>
      </c>
      <c r="H12" s="80"/>
      <c r="I12" s="106" t="s">
        <v>97</v>
      </c>
      <c r="J12" s="80"/>
      <c r="K12" s="106" t="s">
        <v>101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>
        <v>10</v>
      </c>
      <c r="H15" s="20" t="s">
        <v>19</v>
      </c>
      <c r="I15" s="26">
        <v>1</v>
      </c>
      <c r="J15" s="20" t="s">
        <v>68</v>
      </c>
      <c r="K15" s="87">
        <v>5</v>
      </c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98</v>
      </c>
      <c r="D19" s="121"/>
      <c r="E19" s="121"/>
      <c r="F19" s="122"/>
      <c r="G19" s="123">
        <v>1.98</v>
      </c>
      <c r="H19" s="123"/>
      <c r="I19" s="123">
        <v>0.06</v>
      </c>
      <c r="J19" s="123"/>
      <c r="K19" s="119" t="s">
        <v>105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24"/>
      <c r="L20" s="124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81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 t="s">
        <v>96</v>
      </c>
      <c r="H26" s="77"/>
      <c r="I26" s="107" t="str">
        <f>I12</f>
        <v>4581700300516</v>
      </c>
      <c r="J26" s="108"/>
      <c r="K26" s="105" t="s">
        <v>107</v>
      </c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 t="s">
        <v>93</v>
      </c>
      <c r="H34" s="79"/>
      <c r="I34" s="105"/>
      <c r="J34" s="79"/>
      <c r="K34" s="105" t="s">
        <v>103</v>
      </c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104</v>
      </c>
      <c r="F40" s="77"/>
      <c r="G40" s="52" t="s">
        <v>52</v>
      </c>
      <c r="H40" s="77" t="s">
        <v>104</v>
      </c>
      <c r="I40" s="52" t="s">
        <v>73</v>
      </c>
      <c r="J40" s="77" t="s">
        <v>104</v>
      </c>
      <c r="K40" s="52" t="s">
        <v>52</v>
      </c>
      <c r="L40" s="77" t="s">
        <v>90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 t="s">
        <v>108</v>
      </c>
      <c r="F42" s="79"/>
      <c r="G42" s="52" t="s">
        <v>54</v>
      </c>
      <c r="H42" s="79" t="s">
        <v>105</v>
      </c>
      <c r="I42" s="52" t="s">
        <v>54</v>
      </c>
      <c r="J42" s="79" t="s">
        <v>108</v>
      </c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45952</v>
      </c>
      <c r="D47" s="96"/>
      <c r="E47" s="96"/>
      <c r="F47" s="97"/>
      <c r="G47" s="87" t="s">
        <v>100</v>
      </c>
      <c r="H47" s="88"/>
      <c r="I47" s="88"/>
      <c r="J47" s="78"/>
      <c r="K47" s="90">
        <f>C47+365</f>
        <v>46317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 t="s">
        <v>91</v>
      </c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 t="s">
        <v>80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 t="s">
        <v>82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88</v>
      </c>
      <c r="B57" s="86"/>
      <c r="C57" s="30"/>
      <c r="D57" s="133" t="s">
        <v>92</v>
      </c>
      <c r="E57" s="13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3"/>
      <c r="E58" s="13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4"/>
      <c r="E59" s="134"/>
      <c r="F59" s="64"/>
      <c r="G59" s="42"/>
      <c r="H59" s="40"/>
      <c r="I59" s="137" t="s">
        <v>74</v>
      </c>
      <c r="J59" s="137"/>
      <c r="K59" s="137"/>
      <c r="L59" s="137"/>
      <c r="M59" s="32"/>
    </row>
    <row r="60" spans="1:13" ht="9.75" customHeight="1" x14ac:dyDescent="0.25">
      <c r="A60" s="135"/>
      <c r="B60" s="135"/>
      <c r="C60" s="58"/>
      <c r="D60" s="134"/>
      <c r="E60" s="134"/>
      <c r="F60" s="64"/>
      <c r="G60" s="15"/>
      <c r="H60" s="11"/>
      <c r="I60" s="89" t="s">
        <v>84</v>
      </c>
      <c r="J60" s="89"/>
      <c r="K60" s="89"/>
      <c r="L60" s="89"/>
      <c r="M60" s="2"/>
    </row>
    <row r="61" spans="1:13" s="33" customFormat="1" ht="14.1" customHeight="1" x14ac:dyDescent="0.25">
      <c r="A61" s="57" t="s">
        <v>87</v>
      </c>
      <c r="B61" s="57"/>
      <c r="C61" s="30"/>
      <c r="D61" s="133"/>
      <c r="E61" s="13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3"/>
      <c r="E62" s="13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3" t="s">
        <v>99</v>
      </c>
      <c r="E63" s="133"/>
      <c r="F63" s="133"/>
      <c r="G63" s="13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3"/>
      <c r="E64" s="133"/>
      <c r="F64" s="133"/>
      <c r="G64" s="13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3" t="s">
        <v>102</v>
      </c>
      <c r="E65" s="133"/>
      <c r="F65" s="133"/>
      <c r="G65" s="133"/>
      <c r="H65" s="133"/>
      <c r="I65" s="133"/>
      <c r="J65" s="136"/>
      <c r="K65" s="136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3"/>
      <c r="E66" s="133"/>
      <c r="F66" s="133"/>
      <c r="G66" s="133"/>
      <c r="H66" s="133"/>
      <c r="I66" s="133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1" t="s">
        <v>85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3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3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3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3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 x14ac:dyDescent="0.25">
      <c r="G77" s="132" t="s">
        <v>83</v>
      </c>
      <c r="H77" s="132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2014-04-24T17:08:40Z</cp:lastPrinted>
  <dcterms:created xsi:type="dcterms:W3CDTF">2001-08-01T17:12:05Z</dcterms:created>
  <dcterms:modified xsi:type="dcterms:W3CDTF">2025-10-23T14:23:12Z</dcterms:modified>
</cp:coreProperties>
</file>