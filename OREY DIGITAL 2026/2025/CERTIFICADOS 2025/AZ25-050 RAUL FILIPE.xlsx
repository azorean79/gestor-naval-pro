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6CEB7D9-A0A4-4345-94E2-2E87E11CDACD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34" i="9"/>
  <c r="M58" i="10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G26" i="9"/>
  <c r="I12" i="9"/>
  <c r="E75" i="10"/>
  <c r="E73" i="10"/>
</calcChain>
</file>

<file path=xl/sharedStrings.xml><?xml version="1.0" encoding="utf-8"?>
<sst xmlns="http://schemas.openxmlformats.org/spreadsheetml/2006/main" count="376" uniqueCount="340">
  <si>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</si>
  <si>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</si>
  <si>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</si>
  <si>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</si>
  <si>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</si>
  <si>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</si>
  <si>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</si>
  <si>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</si>
  <si>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</si>
  <si>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</si>
  <si>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</si>
  <si>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</si>
  <si>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</si>
  <si>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</si>
  <si>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</si>
  <si>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</si>
  <si>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</si>
  <si>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</si>
  <si>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</si>
  <si>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</si>
  <si>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</si>
  <si>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</si>
  <si>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</si>
  <si>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</si>
  <si>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</si>
  <si>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</si>
  <si>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</si>
  <si>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</si>
  <si>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</si>
  <si>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</si>
  <si>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</si>
  <si>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</si>
  <si>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</si>
  <si>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</si>
  <si>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</si>
  <si>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</si>
  <si>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</si>
  <si>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</si>
  <si>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</si>
  <si>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</si>
  <si>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</si>
  <si>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</si>
  <si>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</si>
  <si>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</si>
  <si>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</si>
  <si>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</si>
  <si>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</si>
  <si>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</si>
  <si>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</si>
  <si>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</si>
  <si>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</si>
  <si>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</si>
  <si>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</si>
  <si>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</si>
  <si>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</si>
  <si>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</si>
  <si>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</si>
  <si>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</si>
  <si>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</si>
  <si>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</si>
  <si>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</si>
  <si>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</si>
  <si>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</si>
  <si>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</si>
  <si>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</si>
  <si>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</si>
  <si>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</si>
  <si>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</si>
  <si>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</si>
  <si>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</si>
  <si>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</si>
  <si>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</si>
  <si>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</si>
  <si>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</si>
  <si>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</si>
  <si>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</si>
  <si>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</si>
  <si>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</si>
  <si>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</si>
  <si>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</si>
  <si>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</si>
  <si>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</si>
  <si>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</si>
  <si>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</si>
  <si>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</si>
  <si>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</si>
  <si>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</si>
  <si>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</si>
  <si>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</si>
  <si>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</si>
  <si>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</si>
  <si>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</si>
  <si>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</si>
  <si>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</si>
  <si>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</si>
  <si>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</si>
  <si>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</si>
  <si>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</si>
  <si>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</si>
  <si>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</si>
  <si>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</si>
  <si>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</si>
  <si>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</si>
  <si>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</si>
  <si>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</si>
  <si>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</si>
  <si>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</si>
  <si>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</si>
  <si>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</si>
  <si>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</si>
  <si>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</si>
  <si>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</si>
  <si>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</si>
  <si>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</si>
  <si>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</si>
  <si>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</si>
  <si>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</si>
  <si>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</si>
  <si>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</si>
  <si>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</si>
  <si>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</si>
  <si>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</si>
  <si>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</si>
  <si>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</si>
  <si>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</si>
  <si>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</si>
  <si>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</si>
  <si>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</si>
  <si>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</si>
  <si>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</si>
  <si>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</si>
  <si>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</si>
  <si>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</si>
  <si>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</si>
  <si>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</si>
  <si>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</si>
  <si>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</si>
  <si>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</si>
  <si>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</si>
  <si>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</si>
  <si>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</si>
  <si>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</si>
  <si>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</si>
  <si>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</si>
  <si>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</si>
  <si>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</si>
  <si>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</si>
  <si>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</si>
  <si>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</si>
  <si>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</si>
  <si>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</si>
  <si>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</si>
  <si>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</si>
  <si>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</si>
  <si>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</si>
  <si>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</si>
  <si>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</si>
  <si>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</si>
  <si>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</si>
  <si>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</si>
  <si>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</si>
  <si>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</si>
  <si>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</si>
  <si>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</si>
  <si>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</si>
  <si>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</si>
  <si>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</si>
  <si>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</si>
  <si>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</si>
  <si>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</si>
  <si>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</si>
  <si>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</si>
  <si>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</si>
  <si>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</si>
  <si>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</si>
  <si>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</si>
  <si>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</si>
  <si>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</si>
  <si>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</si>
  <si>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</si>
  <si>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</si>
  <si>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</si>
  <si>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</si>
  <si>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</si>
  <si>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</si>
  <si>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</si>
  <si>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</si>
  <si>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</si>
  <si>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</si>
  <si>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</si>
  <si>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</si>
  <si>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</si>
  <si>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</si>
  <si>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</si>
  <si>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</si>
  <si>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</si>
  <si>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</si>
  <si>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</si>
  <si>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</si>
  <si>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</si>
  <si>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</si>
  <si>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</si>
  <si>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</si>
  <si>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</si>
  <si>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</si>
  <si>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</si>
  <si>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</si>
  <si>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</si>
  <si>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</si>
  <si>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</si>
  <si>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</si>
  <si>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</si>
  <si>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</si>
  <si>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</si>
  <si>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</si>
  <si>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</si>
  <si>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</si>
  <si>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</si>
  <si>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</si>
  <si>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</si>
  <si>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</si>
  <si>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</si>
  <si>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</si>
  <si>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</si>
  <si>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</si>
  <si>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</si>
  <si>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</si>
  <si>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</si>
  <si>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</si>
  <si>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</si>
  <si>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</si>
  <si>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</si>
  <si>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</si>
  <si>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</si>
  <si>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</si>
  <si>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</si>
  <si>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</si>
  <si>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</si>
  <si>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</si>
  <si>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</si>
  <si>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</si>
  <si>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</si>
  <si>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</si>
  <si>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</si>
  <si>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</si>
  <si>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</si>
  <si>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</si>
  <si>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</si>
  <si>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</si>
  <si>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</si>
  <si>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</si>
  <si>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</si>
  <si>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</si>
  <si>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</si>
  <si>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</si>
  <si>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</si>
  <si>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</si>
  <si>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</si>
  <si>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</si>
  <si>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</si>
  <si>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</si>
  <si>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</si>
  <si>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</si>
  <si>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</si>
  <si>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</si>
  <si>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</si>
  <si>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</si>
  <si>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</si>
  <si>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</si>
  <si>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</si>
  <si>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</si>
  <si>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</si>
  <si>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</si>
  <si>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</si>
  <si>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</si>
  <si>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</si>
  <si>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</si>
  <si>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</si>
  <si>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</si>
  <si>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</si>
  <si>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</si>
  <si>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</si>
  <si>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</si>
  <si>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</si>
  <si>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</si>
  <si>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</si>
  <si>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</si>
  <si>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</si>
  <si>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</si>
  <si>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</si>
  <si>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</si>
  <si>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</si>
  <si>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</si>
  <si>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</si>
  <si>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</si>
  <si>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</si>
  <si>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</si>
  <si>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</si>
  <si>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</si>
  <si>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</si>
  <si>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</si>
  <si>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</si>
  <si>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</si>
  <si>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</si>
  <si>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</si>
  <si>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</si>
  <si>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</si>
  <si>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</si>
  <si>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</si>
  <si>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</si>
  <si>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</si>
  <si>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REPORT ANNEXED</t>
  </si>
  <si>
    <t>MARCO PAULO AMARAL CABRAL</t>
  </si>
  <si>
    <t>RAUL FILIPE</t>
  </si>
  <si>
    <t>REDUZIDO</t>
  </si>
  <si>
    <t>01975</t>
  </si>
  <si>
    <t>10,881</t>
  </si>
  <si>
    <t>8,231</t>
  </si>
  <si>
    <t>16 Cº</t>
  </si>
  <si>
    <t>16  Cº</t>
  </si>
  <si>
    <t xml:space="preserve">inH2O [X ] inHg [   ] mbar [] </t>
  </si>
  <si>
    <t>11/11/2009</t>
  </si>
  <si>
    <t xml:space="preserve">SOLAS </t>
  </si>
  <si>
    <t>50173103S7237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</si>
  <si>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</si>
  <si>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02/24</t>
  </si>
  <si>
    <t>03/19</t>
  </si>
  <si>
    <t>05/26</t>
  </si>
  <si>
    <t>YES</t>
  </si>
  <si>
    <t>04/27</t>
  </si>
  <si>
    <t>04/26</t>
  </si>
  <si>
    <t>(1) COPO VERTEDOURO</t>
  </si>
  <si>
    <t>PORTUGAL</t>
  </si>
  <si>
    <t>1012 Hpa</t>
  </si>
  <si>
    <t>JULIO CORREA</t>
  </si>
  <si>
    <t>05/2027</t>
  </si>
  <si>
    <t>(1) 30202050</t>
  </si>
  <si>
    <t>03/26</t>
  </si>
  <si>
    <t>AZ25-050</t>
  </si>
  <si>
    <t>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</si>
</sst>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15240</xdr:colOff>
      <xdr:row>3</xdr:row>
      <xdr:rowOff>40446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3063239" cy="4976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7620</xdr:colOff>
      <xdr:row>47</xdr:row>
      <xdr:rowOff>15240</xdr:rowOff>
    </xdr:from>
    <xdr:to>
      <xdr:col>21</xdr:col>
      <xdr:colOff>233964</xdr:colOff>
      <xdr:row>56</xdr:row>
      <xdr:rowOff>106680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89B0A9-DDC9-4007-ABC7-22DF9E8D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4160" y="753618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AZ25-050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09"/>
      <c r="F12" s="140"/>
      <c r="G12" s="138">
        <f>QUADRO!J7</f>
        <v>8</v>
      </c>
      <c r="H12" s="140"/>
      <c r="I12" s="184" t="str">
        <f>QUADRO!C7</f>
        <v>50173103S7237</v>
      </c>
      <c r="J12" s="185"/>
      <c r="K12" s="203" t="str">
        <f>QUADRO!G79</f>
        <v>11/11/2009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304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01975</v>
      </c>
      <c r="D19" s="171"/>
      <c r="E19" s="171"/>
      <c r="F19" s="172"/>
      <c r="G19" s="200">
        <f>QUADRO!I62</f>
        <v>2.5</v>
      </c>
      <c r="H19" s="200"/>
      <c r="I19" s="200" t="str">
        <f>QUADRO!I64</f>
        <v>0,160</v>
      </c>
      <c r="J19" s="200"/>
      <c r="K19" s="201" t="str">
        <f>QUADRO!I66</f>
        <v>03/19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REDUZIDO</v>
      </c>
      <c r="H26" s="169"/>
      <c r="I26" s="182" t="str">
        <f>QUADRO!C7</f>
        <v>50173103S7237</v>
      </c>
      <c r="J26" s="183"/>
      <c r="K26" s="194">
        <f>QUADRO!F81+365</f>
        <v>46093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322</v>
      </c>
      <c r="H34" s="166"/>
      <c r="I34" s="188"/>
      <c r="J34" s="166"/>
      <c r="K34" s="182" t="str">
        <f>QUADRO!J13</f>
        <v>05/2027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328</v>
      </c>
      <c r="F40" s="148"/>
      <c r="G40" s="35" t="s">
        <v>52</v>
      </c>
      <c r="H40" s="166" t="s">
        <v>303</v>
      </c>
      <c r="I40" s="35" t="s">
        <v>73</v>
      </c>
      <c r="J40" s="166" t="s">
        <v>328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339</v>
      </c>
      <c r="F42" s="169"/>
      <c r="G42" s="35" t="s">
        <v>54</v>
      </c>
      <c r="H42" s="167"/>
      <c r="I42" s="35" t="s">
        <v>54</v>
      </c>
      <c r="J42" s="167" t="s">
        <v>339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45728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46093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311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82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1" t="s">
        <v>332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RAUL FILIPE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312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0" t="s">
        <v>324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83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88</v>
      </c>
      <c r="E3" s="295"/>
      <c r="F3" s="295"/>
      <c r="G3" s="295"/>
      <c r="H3" s="296" t="s">
        <v>89</v>
      </c>
      <c r="I3" s="298"/>
      <c r="J3" s="299"/>
    </row>
    <row r="4" spans="2:15" s="58" customFormat="1" ht="23.4" customHeight="1" x14ac:dyDescent="0.4">
      <c r="B4" s="56" t="s">
        <v>90</v>
      </c>
      <c r="C4" s="57"/>
      <c r="D4" s="300" t="s">
        <v>91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92</v>
      </c>
      <c r="C5" s="56"/>
      <c r="H5" s="301" t="s">
        <v>93</v>
      </c>
      <c r="I5" s="303" t="s">
        <v>338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94</v>
      </c>
      <c r="C7" s="279" t="s">
        <v>323</v>
      </c>
      <c r="D7" s="59" t="s">
        <v>95</v>
      </c>
      <c r="E7" s="281" t="s">
        <v>313</v>
      </c>
      <c r="F7" s="282"/>
      <c r="G7" s="60" t="s">
        <v>96</v>
      </c>
      <c r="H7" s="281" t="s">
        <v>305</v>
      </c>
      <c r="I7" s="290"/>
      <c r="J7" s="293">
        <v>8</v>
      </c>
    </row>
    <row r="8" spans="2:15" ht="23.4" customHeight="1" x14ac:dyDescent="0.3">
      <c r="B8" s="61" t="s">
        <v>97</v>
      </c>
      <c r="C8" s="280"/>
      <c r="D8" s="61" t="s">
        <v>98</v>
      </c>
      <c r="E8" s="283"/>
      <c r="F8" s="284"/>
      <c r="G8" s="62" t="s">
        <v>99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 t="s">
        <v>336</v>
      </c>
      <c r="J13" s="83" t="s">
        <v>335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329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330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337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337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/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307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314</v>
      </c>
      <c r="G47" s="61"/>
      <c r="H47" s="81"/>
      <c r="I47" s="105"/>
      <c r="J47" s="106" t="s">
        <v>325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 t="s">
        <v>325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 t="s">
        <v>326</v>
      </c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5" t="s">
        <v>234</v>
      </c>
      <c r="H56" s="286"/>
      <c r="I56" s="287" t="s">
        <v>315</v>
      </c>
      <c r="J56" s="288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78" t="s">
        <v>237</v>
      </c>
      <c r="H57" s="257"/>
      <c r="I57" s="253"/>
      <c r="J57" s="289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77" t="s">
        <v>240</v>
      </c>
      <c r="H58" s="251"/>
      <c r="I58" s="252" t="s">
        <v>316</v>
      </c>
      <c r="J58" s="254"/>
      <c r="M58" s="137">
        <f>I58-I62-I64</f>
        <v>8.2210000000000001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78" t="s">
        <v>243</v>
      </c>
      <c r="H59" s="257"/>
      <c r="I59" s="253"/>
      <c r="J59" s="255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77" t="s">
        <v>246</v>
      </c>
      <c r="H60" s="251"/>
      <c r="I60" s="252" t="s">
        <v>317</v>
      </c>
      <c r="J60" s="254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78" t="s">
        <v>249</v>
      </c>
      <c r="H61" s="257"/>
      <c r="I61" s="253"/>
      <c r="J61" s="255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0" t="s">
        <v>252</v>
      </c>
      <c r="H62" s="251"/>
      <c r="I62" s="273">
        <v>2.5</v>
      </c>
      <c r="J62" s="275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327</v>
      </c>
      <c r="G63" s="256" t="s">
        <v>255</v>
      </c>
      <c r="H63" s="257"/>
      <c r="I63" s="274"/>
      <c r="J63" s="276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77" t="s">
        <v>258</v>
      </c>
      <c r="H64" s="251"/>
      <c r="I64" s="252" t="s">
        <v>308</v>
      </c>
      <c r="J64" s="254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78" t="s">
        <v>261</v>
      </c>
      <c r="H65" s="257"/>
      <c r="I65" s="253"/>
      <c r="J65" s="255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0" t="s">
        <v>264</v>
      </c>
      <c r="H66" s="251"/>
      <c r="I66" s="252" t="s">
        <v>326</v>
      </c>
      <c r="J66" s="254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6" t="s">
        <v>267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268</v>
      </c>
      <c r="C69" s="117" t="s">
        <v>269</v>
      </c>
      <c r="D69" s="265" t="s">
        <v>320</v>
      </c>
      <c r="E69" s="266"/>
      <c r="F69" s="118" t="s">
        <v>270</v>
      </c>
      <c r="G69" s="119" t="s">
        <v>271</v>
      </c>
      <c r="H69" s="269" t="s">
        <v>318</v>
      </c>
      <c r="I69" s="119" t="s">
        <v>272</v>
      </c>
      <c r="J69" s="271" t="s">
        <v>319</v>
      </c>
    </row>
    <row r="70" spans="1:11" ht="21.6" customHeight="1" x14ac:dyDescent="0.3">
      <c r="B70" s="262"/>
      <c r="C70" s="120" t="s">
        <v>273</v>
      </c>
      <c r="D70" s="267"/>
      <c r="E70" s="268"/>
      <c r="F70" s="121" t="s">
        <v>274</v>
      </c>
      <c r="G70" s="122" t="s">
        <v>275</v>
      </c>
      <c r="H70" s="270"/>
      <c r="I70" s="122" t="s">
        <v>276</v>
      </c>
      <c r="J70" s="272"/>
    </row>
    <row r="71" spans="1:11" ht="21" x14ac:dyDescent="0.3">
      <c r="B71" s="263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9" t="s">
        <v>333</v>
      </c>
      <c r="I71" s="119" t="s">
        <v>272</v>
      </c>
      <c r="J71" s="269" t="s">
        <v>333</v>
      </c>
    </row>
    <row r="72" spans="1:11" ht="42" customHeight="1" x14ac:dyDescent="0.3">
      <c r="B72" s="264"/>
      <c r="C72" s="125">
        <v>0.41666666666666669</v>
      </c>
      <c r="D72" s="125">
        <v>0.45833333333333331</v>
      </c>
      <c r="E72" s="126" t="s">
        <v>281</v>
      </c>
      <c r="F72" s="121" t="s">
        <v>282</v>
      </c>
      <c r="G72" s="127" t="s">
        <v>275</v>
      </c>
      <c r="H72" s="270"/>
      <c r="I72" s="127" t="s">
        <v>276</v>
      </c>
      <c r="J72" s="270"/>
    </row>
    <row r="73" spans="1:11" ht="21.6" customHeight="1" x14ac:dyDescent="0.3">
      <c r="B73" s="128" t="s">
        <v>283</v>
      </c>
      <c r="C73" s="234">
        <v>86.9</v>
      </c>
      <c r="D73" s="234">
        <v>85.9</v>
      </c>
      <c r="E73" s="236">
        <f>1-(D73/C73)</f>
        <v>1.1507479861910253E-2</v>
      </c>
      <c r="F73" s="238" t="s">
        <v>284</v>
      </c>
      <c r="G73" s="241" t="s">
        <v>331</v>
      </c>
      <c r="H73" s="242"/>
      <c r="I73" s="242"/>
      <c r="J73" s="243"/>
    </row>
    <row r="74" spans="1:11" ht="21.6" customHeight="1" x14ac:dyDescent="0.3">
      <c r="B74" s="129" t="s">
        <v>285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286</v>
      </c>
      <c r="C75" s="234">
        <v>95.3</v>
      </c>
      <c r="D75" s="234">
        <v>93.4</v>
      </c>
      <c r="E75" s="236">
        <f>1-(D75/C75)</f>
        <v>1.9937040923399652E-2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287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288</v>
      </c>
      <c r="C77" s="222"/>
      <c r="D77" s="222"/>
      <c r="E77" s="224" t="s">
        <v>310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289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290</v>
      </c>
      <c r="C79" s="222"/>
      <c r="D79" s="222"/>
      <c r="E79" s="224" t="s">
        <v>1</v>
      </c>
      <c r="F79" s="130" t="s">
        <v>291</v>
      </c>
      <c r="G79" s="226" t="s">
        <v>321</v>
      </c>
      <c r="H79" s="228"/>
      <c r="I79" s="229"/>
      <c r="J79" s="230"/>
      <c r="K79" s="55"/>
    </row>
    <row r="80" spans="1:11" ht="21" customHeight="1" x14ac:dyDescent="0.3">
      <c r="B80" s="129" t="s">
        <v>292</v>
      </c>
      <c r="C80" s="223"/>
      <c r="D80" s="223"/>
      <c r="E80" s="225"/>
      <c r="F80" s="131" t="s">
        <v>293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294</v>
      </c>
      <c r="C81" s="216" t="s">
        <v>309</v>
      </c>
      <c r="D81" s="218"/>
      <c r="E81" s="133" t="s">
        <v>295</v>
      </c>
      <c r="F81" s="214">
        <v>45728</v>
      </c>
      <c r="G81" s="133" t="s">
        <v>296</v>
      </c>
      <c r="H81" s="216" t="s">
        <v>334</v>
      </c>
      <c r="I81" s="217"/>
      <c r="J81" s="218"/>
      <c r="K81" s="74"/>
    </row>
    <row r="82" spans="1:11" ht="28.2" customHeight="1" x14ac:dyDescent="0.3">
      <c r="B82" s="134" t="s">
        <v>297</v>
      </c>
      <c r="C82" s="219"/>
      <c r="D82" s="221"/>
      <c r="E82" s="135" t="s">
        <v>298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2025-03-12T15:39:42Z</cp:lastPrinted>
  <dcterms:created xsi:type="dcterms:W3CDTF">2001-08-01T17:12:05Z</dcterms:created>
  <dcterms:modified xsi:type="dcterms:W3CDTF">2025-03-12T15:39:47Z</dcterms:modified>
</cp:coreProperties>
</file>