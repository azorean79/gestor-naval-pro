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CA0A033-CDA4-4600-B866-50F2268B65B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<sst xmlns="http://schemas.openxmlformats.org/spreadsheetml/2006/main" count="128" uniqueCount="108">
  <si>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</si>
  <si>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</si>
  <si>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</si>
  <si>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</si>
  <si>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</si>
  <si>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</si>
  <si>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</si>
  <si>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</si>
  <si>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</si>
  <si>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</si>
  <si>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</si>
  <si>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</si>
  <si>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</si>
  <si>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</si>
  <si>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</si>
  <si>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</si>
  <si>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</si>
  <si>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</si>
  <si>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</si>
  <si>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</si>
  <si>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</si>
  <si>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</si>
  <si>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</si>
  <si>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</si>
  <si>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</si>
  <si>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</si>
  <si>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</si>
  <si>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</si>
  <si>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</si>
  <si>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</si>
  <si>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</si>
  <si>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</si>
  <si>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</si>
  <si>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</si>
  <si>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</si>
  <si>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</si>
  <si>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</si>
  <si>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</si>
  <si>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</si>
  <si>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</si>
  <si>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</si>
  <si>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</si>
  <si>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</si>
  <si>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</si>
  <si>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</si>
  <si>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</si>
  <si>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</si>
  <si>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</si>
  <si>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</si>
  <si>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</si>
  <si>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</si>
  <si>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</si>
  <si>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</si>
  <si>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</si>
  <si>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</si>
  <si>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</si>
  <si>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</si>
  <si>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</si>
  <si>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</si>
  <si>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</si>
  <si>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</si>
  <si>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</si>
  <si>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</si>
  <si>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</si>
  <si>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</si>
  <si>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</si>
  <si>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</si>
  <si>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</si>
  <si>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</si>
  <si>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</si>
  <si>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</si>
  <si>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</si>
  <si>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</si>
  <si>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</si>
  <si>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</si>
  <si>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</si>
  <si>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</si>
  <si>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</si>
  <si>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</si>
  <si>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</si>
  <si>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</si>
  <si>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</si>
  <si>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</si>
  <si>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</si>
  <si>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</si>
  <si>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</si>
  <si>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</si>
  <si>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</si>
  <si>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</si>
  <si>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</si>
  <si>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</si>
  <si>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</si>
  <si>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</si>
  <si>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50937 Orey Technica, Azores</t>
  </si>
  <si>
    <t>RFD SURVIVA MKIV</t>
  </si>
  <si>
    <t>SOLAS B</t>
  </si>
  <si>
    <t>8</t>
  </si>
  <si>
    <t>PORTOS DOS AÇORES, SA</t>
  </si>
  <si>
    <t>YES</t>
  </si>
  <si>
    <t>5085810101408</t>
  </si>
  <si>
    <t>218188</t>
  </si>
  <si>
    <t>07/21</t>
  </si>
  <si>
    <t>JOSSE VAN HURTERE</t>
  </si>
  <si>
    <t>06/2011</t>
  </si>
  <si>
    <t>PU</t>
  </si>
  <si>
    <t>10/2026</t>
  </si>
  <si>
    <t>AZ25-200</t>
  </si>
  <si>
    <t>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</si>
</sst>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144780</xdr:colOff>
      <xdr:row>46</xdr:row>
      <xdr:rowOff>182880</xdr:rowOff>
    </xdr:from>
    <xdr:to>
      <xdr:col>23</xdr:col>
      <xdr:colOff>371124</xdr:colOff>
      <xdr:row>56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0520" y="75133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6" zoomScaleNormal="100" workbookViewId="0">
      <selection activeCell="O47" sqref="O4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106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94</v>
      </c>
      <c r="D12" s="93"/>
      <c r="E12" s="94"/>
      <c r="F12" s="95"/>
      <c r="G12" s="96" t="s">
        <v>96</v>
      </c>
      <c r="H12" s="97"/>
      <c r="I12" s="96" t="s">
        <v>99</v>
      </c>
      <c r="J12" s="97"/>
      <c r="K12" s="96" t="s">
        <v>103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104</v>
      </c>
      <c r="D15" s="93"/>
      <c r="E15" s="93"/>
      <c r="F15" s="95"/>
      <c r="G15" s="26">
        <v>28</v>
      </c>
      <c r="H15" s="20" t="s">
        <v>19</v>
      </c>
      <c r="I15" s="26">
        <v>1</v>
      </c>
      <c r="J15" s="20" t="s">
        <v>68</v>
      </c>
      <c r="K15" s="92">
        <v>18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100</v>
      </c>
      <c r="D19" s="102"/>
      <c r="E19" s="102"/>
      <c r="F19" s="103"/>
      <c r="G19" s="99">
        <v>3.38</v>
      </c>
      <c r="H19" s="99"/>
      <c r="I19" s="99">
        <v>0.14000000000000001</v>
      </c>
      <c r="J19" s="99"/>
      <c r="K19" s="98" t="s">
        <v>101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95</v>
      </c>
      <c r="H26" s="116"/>
      <c r="I26" s="110" t="str">
        <f>I12</f>
        <v>5085810101408</v>
      </c>
      <c r="J26" s="111"/>
      <c r="K26" s="104" t="s">
        <v>105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92</v>
      </c>
      <c r="H34" s="105"/>
      <c r="I34" s="104"/>
      <c r="J34" s="105"/>
      <c r="K34" s="104" t="s">
        <v>105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98</v>
      </c>
      <c r="F40" s="116"/>
      <c r="G40" s="52" t="s">
        <v>52</v>
      </c>
      <c r="H40" s="116" t="s">
        <v>89</v>
      </c>
      <c r="I40" s="52" t="s">
        <v>73</v>
      </c>
      <c r="J40" s="116" t="s">
        <v>98</v>
      </c>
      <c r="K40" s="52" t="s">
        <v>52</v>
      </c>
      <c r="L40" s="116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 t="s">
        <v>107</v>
      </c>
      <c r="F42" s="105"/>
      <c r="G42" s="52" t="s">
        <v>54</v>
      </c>
      <c r="H42" s="105"/>
      <c r="I42" s="52" t="s">
        <v>54</v>
      </c>
      <c r="J42" s="105" t="s">
        <v>107</v>
      </c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45943</v>
      </c>
      <c r="D47" s="127"/>
      <c r="E47" s="127"/>
      <c r="F47" s="128"/>
      <c r="G47" s="92" t="s">
        <v>93</v>
      </c>
      <c r="H47" s="93"/>
      <c r="I47" s="93"/>
      <c r="J47" s="95"/>
      <c r="K47" s="121">
        <f>C47+365</f>
        <v>46308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90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91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102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97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2025-10-21T10:03:39Z</cp:lastPrinted>
  <dcterms:created xsi:type="dcterms:W3CDTF">2001-08-01T17:12:05Z</dcterms:created>
  <dcterms:modified xsi:type="dcterms:W3CDTF">2025-10-21T10:04:37Z</dcterms:modified>
</cp:coreProperties>
</file>