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835BA21-866C-4DE2-9736-6B0E16CB6032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62" i="10"/>
  <c r="K3" i="9"/>
  <c r="C12" i="9"/>
  <c r="I12" i="9"/>
  <c r="K12" i="9"/>
  <c r="G19" i="9"/>
  <c r="I19" i="9"/>
  <c r="C19" i="9"/>
  <c r="D63" i="9"/>
  <c r="M61" i="10" l="1"/>
  <c r="K26" i="9"/>
  <c r="G12" i="9" l="1"/>
  <c r="G47" i="9" l="1"/>
  <c r="L42" i="9"/>
  <c r="I26" i="9"/>
  <c r="K19" i="9"/>
  <c r="C47" i="9"/>
  <c r="G26" i="9"/>
  <c r="E79" i="10"/>
  <c r="E77" i="10"/>
  <c r="E75" i="10"/>
  <c r="E73" i="10"/>
</calcChain>
</file>

<file path=xl/sharedStrings.xml><?xml version="1.0" encoding="utf-8"?>
<sst xmlns="http://schemas.openxmlformats.org/spreadsheetml/2006/main" count="363" uniqueCount="327">
  <si>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</si>
  <si>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</si>
  <si>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</si>
  <si>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</si>
  <si>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</si>
  <si>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</si>
  <si>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</si>
  <si>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</si>
  <si>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</si>
  <si>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</si>
  <si>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</si>
  <si>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</si>
  <si>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</si>
  <si>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</si>
  <si>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</si>
  <si>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</si>
  <si>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</si>
  <si>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</si>
  <si>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</si>
  <si>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</si>
  <si>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</si>
  <si>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</si>
  <si>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</si>
  <si>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</si>
  <si>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</si>
  <si>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</si>
  <si>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</si>
  <si>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</si>
  <si>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</si>
  <si>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</si>
  <si>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</si>
  <si>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</si>
  <si>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</si>
  <si>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</si>
  <si>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</si>
  <si>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</si>
  <si>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</si>
  <si>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</si>
  <si>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</si>
  <si>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</si>
  <si>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</si>
  <si>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</si>
  <si>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</si>
  <si>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</si>
  <si>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</si>
  <si>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</si>
  <si>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</si>
  <si>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</si>
  <si>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</si>
  <si>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</si>
  <si>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</si>
  <si>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</si>
  <si>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</si>
  <si>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</si>
  <si>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</si>
  <si>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</si>
  <si>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</si>
  <si>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</si>
  <si>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</si>
  <si>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</si>
  <si>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</si>
  <si>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</si>
  <si>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</si>
  <si>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</si>
  <si>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</si>
  <si>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</si>
  <si>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</si>
  <si>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</si>
  <si>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</si>
  <si>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</si>
  <si>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</si>
  <si>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</si>
  <si>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</si>
  <si>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</si>
  <si>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</si>
  <si>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</si>
  <si>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</si>
  <si>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</si>
  <si>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</si>
  <si>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</si>
  <si>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</si>
  <si>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</si>
  <si>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</si>
  <si>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</si>
  <si>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</si>
  <si>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</si>
  <si>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</si>
  <si>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</si>
  <si>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</si>
  <si>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</si>
  <si>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</si>
  <si>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</si>
  <si>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</si>
  <si>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</si>
  <si>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</si>
  <si>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</si>
  <si>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</si>
  <si>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</si>
  <si>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</si>
  <si>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</si>
  <si>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</si>
  <si>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</si>
  <si>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</si>
  <si>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</si>
  <si>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</si>
  <si>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</si>
  <si>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</si>
  <si>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</si>
  <si>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</si>
  <si>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</si>
  <si>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</si>
  <si>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</si>
  <si>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</si>
  <si>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</si>
  <si>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</si>
  <si>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</si>
  <si>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</si>
  <si>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</si>
  <si>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</si>
  <si>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</si>
  <si>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</si>
  <si>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</si>
  <si>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</si>
  <si>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</si>
  <si>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</si>
  <si>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</si>
  <si>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</si>
  <si>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</si>
  <si>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</si>
  <si>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</si>
  <si>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</si>
  <si>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</si>
  <si>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</si>
  <si>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</si>
  <si>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</si>
  <si>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</si>
  <si>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</si>
  <si>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</si>
  <si>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</si>
  <si>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</si>
  <si>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</si>
  <si>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</si>
  <si>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</si>
  <si>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</si>
  <si>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</si>
  <si>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</si>
  <si>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</si>
  <si>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</si>
  <si>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</si>
  <si>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</si>
  <si>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</si>
  <si>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</si>
  <si>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</si>
  <si>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</si>
  <si>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</si>
  <si>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</si>
  <si>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</si>
  <si>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</si>
  <si>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</si>
  <si>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</si>
  <si>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</si>
  <si>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</si>
  <si>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</si>
  <si>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</si>
  <si>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</si>
  <si>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</si>
  <si>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</si>
  <si>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</si>
  <si>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</si>
  <si>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</si>
  <si>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</si>
  <si>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</si>
  <si>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</si>
  <si>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</si>
  <si>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</si>
  <si>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</si>
  <si>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</si>
  <si>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</si>
  <si>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</si>
  <si>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</si>
  <si>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</si>
  <si>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</si>
  <si>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</si>
  <si>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</si>
  <si>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</si>
  <si>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</si>
  <si>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</si>
  <si>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</si>
  <si>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</si>
  <si>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</si>
  <si>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</si>
  <si>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</si>
  <si>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</si>
  <si>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</si>
  <si>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</si>
  <si>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</si>
  <si>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</si>
  <si>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</si>
  <si>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</si>
  <si>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</si>
  <si>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</si>
  <si>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</si>
  <si>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</si>
  <si>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</si>
  <si>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</si>
  <si>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</si>
  <si>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</si>
  <si>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</si>
  <si>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</si>
  <si>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</si>
  <si>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</si>
  <si>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</si>
  <si>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</si>
  <si>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</si>
  <si>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</si>
  <si>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</si>
  <si>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</si>
  <si>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</si>
  <si>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</si>
  <si>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</si>
  <si>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</si>
  <si>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</si>
  <si>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</si>
  <si>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</si>
  <si>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</si>
  <si>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</si>
  <si>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</si>
  <si>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</si>
  <si>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</si>
  <si>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</si>
  <si>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</si>
  <si>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</si>
  <si>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</si>
  <si>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</si>
  <si>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</si>
  <si>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</si>
  <si>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</si>
  <si>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</si>
  <si>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</si>
  <si>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</si>
  <si>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</si>
  <si>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</si>
  <si>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</si>
  <si>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</si>
  <si>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</si>
  <si>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</si>
  <si>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</si>
  <si>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</si>
  <si>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</si>
  <si>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</si>
  <si>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</si>
  <si>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</si>
  <si>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</si>
  <si>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</si>
  <si>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</si>
  <si>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</si>
  <si>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</si>
  <si>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</si>
  <si>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</si>
  <si>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</si>
  <si>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</si>
  <si>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</si>
  <si>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</si>
  <si>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</si>
  <si>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</si>
  <si>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</si>
  <si>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</si>
  <si>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</si>
  <si>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</si>
  <si>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</si>
  <si>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</si>
  <si>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</si>
  <si>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</si>
  <si>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</si>
  <si>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</si>
  <si>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</si>
  <si>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</si>
  <si>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</si>
  <si>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</si>
  <si>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</si>
  <si>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</si>
  <si>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</si>
  <si>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</si>
  <si>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</si>
  <si>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</si>
  <si>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</si>
  <si>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</si>
  <si>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</si>
  <si>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</si>
  <si>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</si>
  <si>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</si>
  <si>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</si>
  <si>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</si>
  <si>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</si>
  <si>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</si>
  <si>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</si>
  <si>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</si>
  <si>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</si>
  <si>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</si>
  <si>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</si>
  <si>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</si>
  <si>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</si>
  <si>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</si>
  <si>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</si>
  <si>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</si>
  <si>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</si>
  <si>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</si>
  <si>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</si>
  <si>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</si>
  <si>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14 Cº</t>
  </si>
  <si>
    <t>1015 Hpa</t>
  </si>
  <si>
    <t>EUROVINIL</t>
  </si>
  <si>
    <t>7,235</t>
  </si>
  <si>
    <t>4,775</t>
  </si>
  <si>
    <t>TERRA MAR</t>
  </si>
  <si>
    <t>79210383</t>
  </si>
  <si>
    <t>0,200</t>
  </si>
  <si>
    <t>11/20</t>
  </si>
  <si>
    <t>11/2020</t>
  </si>
  <si>
    <t>VITOR RESENDES</t>
  </si>
  <si>
    <t>&lt; 24H</t>
  </si>
  <si>
    <t>PORTUGAL</t>
  </si>
  <si>
    <t>AZ25-014</t>
  </si>
  <si>
    <t>08/27</t>
  </si>
  <si>
    <t>08/28</t>
  </si>
  <si>
    <t>07/28</t>
  </si>
  <si>
    <t>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</si>
</sst>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6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AZ25-014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</v>
      </c>
      <c r="D12" s="184"/>
      <c r="E12" s="185"/>
      <c r="F12" s="174"/>
      <c r="G12" s="175">
        <f>QUADRO!J7</f>
        <v>8</v>
      </c>
      <c r="H12" s="174"/>
      <c r="I12" s="187" t="str">
        <f>QUADRO!C7</f>
        <v>79210383</v>
      </c>
      <c r="J12" s="188"/>
      <c r="K12" s="173" t="str">
        <f>QUADRO!G79</f>
        <v>11/2020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N/A</v>
      </c>
      <c r="D19" s="208"/>
      <c r="E19" s="208"/>
      <c r="F19" s="209"/>
      <c r="G19" s="190">
        <f>QUADRO!I62</f>
        <v>3.1</v>
      </c>
      <c r="H19" s="190"/>
      <c r="I19" s="190" t="str">
        <f>QUADRO!I64</f>
        <v>0,200</v>
      </c>
      <c r="J19" s="190"/>
      <c r="K19" s="191" t="str">
        <f>QUADRO!I66</f>
        <v>11/20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79210383</v>
      </c>
      <c r="J26" s="202"/>
      <c r="K26" s="203">
        <f>QUADRO!F81+366+365+365</f>
        <v>46801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45705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C47+365+365+365</f>
        <v>46800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321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TERRA MAR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319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D77" sqref="D77:D7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29.332031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322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315</v>
      </c>
      <c r="D7" s="80" t="s">
        <v>93</v>
      </c>
      <c r="E7" s="256" t="s">
        <v>314</v>
      </c>
      <c r="F7" s="257"/>
      <c r="G7" s="81" t="s">
        <v>94</v>
      </c>
      <c r="H7" s="256" t="s">
        <v>311</v>
      </c>
      <c r="I7" s="268"/>
      <c r="J7" s="271">
        <v>8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299</v>
      </c>
      <c r="J15" s="106" t="s">
        <v>323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307</v>
      </c>
      <c r="J17" s="106" t="s">
        <v>324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326</v>
      </c>
      <c r="J19" s="106" t="s">
        <v>325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298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312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313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8.0749999999999993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3.1</v>
      </c>
      <c r="J62" s="281"/>
      <c r="M62" s="163">
        <f>I58-I62-I64</f>
        <v>3.9349999999999996</v>
      </c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316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317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309</v>
      </c>
      <c r="I69" s="145" t="s">
        <v>270</v>
      </c>
      <c r="J69" s="294" t="s">
        <v>309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310</v>
      </c>
      <c r="I71" s="145" t="s">
        <v>270</v>
      </c>
      <c r="J71" s="292" t="s">
        <v>310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72.8</v>
      </c>
      <c r="D73" s="299">
        <v>71.8</v>
      </c>
      <c r="E73" s="301">
        <f>1-(D73/C73)</f>
        <v>1.3736263736263687E-2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75.900000000000006</v>
      </c>
      <c r="D75" s="299">
        <v>74.3</v>
      </c>
      <c r="E75" s="301">
        <f>1-(D75/C75)</f>
        <v>2.1080368906455926E-2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318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45705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2025-02-18T15:47:23Z</cp:lastPrinted>
  <dcterms:created xsi:type="dcterms:W3CDTF">2001-08-01T17:12:05Z</dcterms:created>
  <dcterms:modified xsi:type="dcterms:W3CDTF">2025-02-18T15:47:27Z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