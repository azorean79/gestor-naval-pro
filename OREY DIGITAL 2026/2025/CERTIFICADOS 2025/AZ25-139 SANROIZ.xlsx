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6D3B0FC-C954-49FC-B3D9-AD3FB9F11C69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<sst xmlns="http://schemas.openxmlformats.org/spreadsheetml/2006/main" count="124" uniqueCount="105">
  <si>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</si>
  <si>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</si>
  <si>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</si>
  <si>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</si>
  <si>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</si>
  <si>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</si>
  <si>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</si>
  <si>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</si>
  <si>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</si>
  <si>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</si>
  <si>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</si>
  <si>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</si>
  <si>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</si>
  <si>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</si>
  <si>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</si>
  <si>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</si>
  <si>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</si>
  <si>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</si>
  <si>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</si>
  <si>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</si>
  <si>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</si>
  <si>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</si>
  <si>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</si>
  <si>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</si>
  <si>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</si>
  <si>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</si>
  <si>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</si>
  <si>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</si>
  <si>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</si>
  <si>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</si>
  <si>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</si>
  <si>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</si>
  <si>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</si>
  <si>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</si>
  <si>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</si>
  <si>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</si>
  <si>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</si>
  <si>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</si>
  <si>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</si>
  <si>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</si>
  <si>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</si>
  <si>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</si>
  <si>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</si>
  <si>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</si>
  <si>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</si>
  <si>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</si>
  <si>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</si>
  <si>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</si>
  <si>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</si>
  <si>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</si>
  <si>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</si>
  <si>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</si>
  <si>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</si>
  <si>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</si>
  <si>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</si>
  <si>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</si>
  <si>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</si>
  <si>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</si>
  <si>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</si>
  <si>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</si>
  <si>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</si>
  <si>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</si>
  <si>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</si>
  <si>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</si>
  <si>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</si>
  <si>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</si>
  <si>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</si>
  <si>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</si>
  <si>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</si>
  <si>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</si>
  <si>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</si>
  <si>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</si>
  <si>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</si>
  <si>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</si>
  <si>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</si>
  <si>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</si>
  <si>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</si>
  <si>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</si>
  <si>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</si>
  <si>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</si>
  <si>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</si>
  <si>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</si>
  <si>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</si>
  <si>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</si>
  <si>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</si>
  <si>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</si>
  <si>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</si>
  <si>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</si>
  <si>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</si>
  <si>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</si>
  <si>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</si>
  <si>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 xml:space="preserve">36 </t>
    </r>
    <r>
      <rPr>
        <sz val="10"/>
        <rFont val="Arial"/>
        <family val="2"/>
      </rPr>
      <t>months from the date of inspection.</t>
    </r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</si>
  <si>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</si>
  <si>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OREY</t>
  </si>
  <si>
    <t>AZ25-139</t>
  </si>
  <si>
    <t>ARIMAR COASTAL LIGHT PR</t>
  </si>
  <si>
    <t>1901006635</t>
  </si>
  <si>
    <t>01/2019</t>
  </si>
  <si>
    <t>18S213199</t>
  </si>
  <si>
    <t>LUSO PT</t>
  </si>
  <si>
    <t>SANROIZ</t>
  </si>
  <si>
    <t>JOAO TOSTE</t>
  </si>
  <si>
    <t>04/2018</t>
  </si>
  <si>
    <t>6</t>
  </si>
  <si>
    <t>07/2028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</si>
</sst>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510540</xdr:colOff>
      <xdr:row>49</xdr:row>
      <xdr:rowOff>106680</xdr:rowOff>
    </xdr:from>
    <xdr:to>
      <xdr:col>22</xdr:col>
      <xdr:colOff>127284</xdr:colOff>
      <xdr:row>59</xdr:row>
      <xdr:rowOff>76200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7226ED-FEA5-4F83-932A-1711A237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7080" y="797814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94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95</v>
      </c>
      <c r="D12" s="88"/>
      <c r="E12" s="130"/>
      <c r="F12" s="78"/>
      <c r="G12" s="106" t="s">
        <v>103</v>
      </c>
      <c r="H12" s="80"/>
      <c r="I12" s="106" t="s">
        <v>96</v>
      </c>
      <c r="J12" s="80"/>
      <c r="K12" s="106" t="s">
        <v>97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87</v>
      </c>
      <c r="D15" s="88"/>
      <c r="E15" s="88"/>
      <c r="F15" s="78"/>
      <c r="G15" s="26">
        <v>10</v>
      </c>
      <c r="H15" s="20" t="s">
        <v>19</v>
      </c>
      <c r="I15" s="26">
        <v>1</v>
      </c>
      <c r="J15" s="20" t="s">
        <v>68</v>
      </c>
      <c r="K15" s="87">
        <v>6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98</v>
      </c>
      <c r="D19" s="121"/>
      <c r="E19" s="121"/>
      <c r="F19" s="122"/>
      <c r="G19" s="123">
        <v>2.0070000000000001</v>
      </c>
      <c r="H19" s="123"/>
      <c r="I19" s="123">
        <v>0.10299999999999999</v>
      </c>
      <c r="J19" s="123"/>
      <c r="K19" s="119" t="s">
        <v>102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99</v>
      </c>
      <c r="H26" s="77"/>
      <c r="I26" s="107" t="str">
        <f>I12</f>
        <v>1901006635</v>
      </c>
      <c r="J26" s="108"/>
      <c r="K26" s="105" t="s">
        <v>104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88</v>
      </c>
      <c r="F40" s="77"/>
      <c r="G40" s="52" t="s">
        <v>52</v>
      </c>
      <c r="H40" s="77" t="s">
        <v>88</v>
      </c>
      <c r="I40" s="52" t="s">
        <v>73</v>
      </c>
      <c r="J40" s="77" t="s">
        <v>88</v>
      </c>
      <c r="K40" s="52" t="s">
        <v>52</v>
      </c>
      <c r="L40" s="77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45866</v>
      </c>
      <c r="D47" s="96"/>
      <c r="E47" s="96"/>
      <c r="F47" s="97"/>
      <c r="G47" s="87" t="s">
        <v>93</v>
      </c>
      <c r="H47" s="88"/>
      <c r="I47" s="88"/>
      <c r="J47" s="78"/>
      <c r="K47" s="90">
        <f>C47+365+365+366</f>
        <v>46962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89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91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92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3" t="s">
        <v>90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100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101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83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81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2025-07-28T11:35:55Z</cp:lastPrinted>
  <dcterms:created xsi:type="dcterms:W3CDTF">2001-08-01T17:12:05Z</dcterms:created>
  <dcterms:modified xsi:type="dcterms:W3CDTF">2025-07-29T10:01:48Z</dcterms:modified>
</cp:coreProperties>
</file>