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9295214-D2BB-4096-AF0B-0983746235E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<sst xmlns="http://schemas.openxmlformats.org/spreadsheetml/2006/main" count="359" uniqueCount="326">
  <si>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</si>
  <si>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</si>
  <si>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</si>
  <si>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</si>
  <si>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</si>
  <si>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</si>
  <si>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</si>
  <si>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</si>
  <si>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</si>
  <si>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</si>
  <si>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</si>
  <si>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</si>
  <si>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</si>
  <si>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</si>
  <si>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</si>
  <si>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</si>
  <si>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</si>
  <si>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</si>
  <si>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</si>
  <si>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</si>
  <si>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</si>
  <si>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</si>
  <si>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</si>
  <si>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</si>
  <si>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</si>
  <si>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</si>
  <si>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</si>
  <si>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</si>
  <si>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</si>
  <si>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</si>
  <si>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</si>
  <si>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</si>
  <si>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</si>
  <si>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</si>
  <si>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</si>
  <si>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</si>
  <si>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</si>
  <si>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</si>
  <si>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</si>
  <si>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</si>
  <si>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</si>
  <si>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</si>
  <si>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</si>
  <si>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</si>
  <si>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</si>
  <si>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</si>
  <si>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</si>
  <si>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</si>
  <si>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</si>
  <si>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</si>
  <si>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</si>
  <si>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</si>
  <si>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</si>
  <si>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</si>
  <si>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</si>
  <si>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</si>
  <si>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</si>
  <si>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</si>
  <si>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</si>
  <si>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</si>
  <si>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</si>
  <si>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</si>
  <si>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</si>
  <si>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</si>
  <si>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</si>
  <si>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</si>
  <si>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</si>
  <si>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</si>
  <si>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</si>
  <si>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</si>
  <si>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</si>
  <si>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</si>
  <si>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</si>
  <si>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</si>
  <si>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</si>
  <si>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</si>
  <si>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</si>
  <si>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</si>
  <si>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</si>
  <si>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</si>
  <si>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</si>
  <si>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</si>
  <si>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</si>
  <si>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</si>
  <si>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</si>
  <si>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</si>
  <si>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</si>
  <si>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</si>
  <si>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</si>
  <si>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</si>
  <si>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</si>
  <si>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</si>
  <si>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</si>
  <si>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</si>
  <si>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</si>
  <si>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</si>
  <si>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</si>
  <si>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</si>
  <si>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</si>
  <si>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</si>
  <si>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</si>
  <si>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</si>
  <si>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</si>
  <si>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</si>
  <si>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</si>
  <si>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</si>
  <si>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</si>
  <si>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</si>
  <si>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</si>
  <si>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</si>
  <si>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</si>
  <si>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</si>
  <si>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</si>
  <si>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</si>
  <si>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</si>
  <si>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</si>
  <si>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</si>
  <si>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</si>
  <si>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</si>
  <si>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</si>
  <si>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</si>
  <si>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</si>
  <si>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</si>
  <si>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</si>
  <si>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</si>
  <si>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</si>
  <si>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</si>
  <si>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</si>
  <si>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</si>
  <si>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</si>
  <si>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</si>
  <si>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</si>
  <si>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</si>
  <si>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</si>
  <si>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</si>
  <si>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</si>
  <si>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</si>
  <si>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</si>
  <si>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</si>
  <si>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</si>
  <si>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</si>
  <si>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</si>
  <si>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</si>
  <si>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</si>
  <si>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</si>
  <si>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</si>
  <si>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</si>
  <si>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</si>
  <si>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</si>
  <si>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</si>
  <si>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</si>
  <si>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</si>
  <si>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</si>
  <si>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</si>
  <si>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</si>
  <si>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</si>
  <si>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</si>
  <si>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</si>
  <si>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</si>
  <si>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</si>
  <si>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</si>
  <si>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</si>
  <si>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</si>
  <si>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</si>
  <si>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</si>
  <si>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</si>
  <si>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</si>
  <si>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</si>
  <si>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</si>
  <si>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</si>
  <si>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</si>
  <si>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</si>
  <si>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</si>
  <si>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</si>
  <si>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</si>
  <si>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</si>
  <si>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</si>
  <si>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</si>
  <si>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</si>
  <si>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</si>
  <si>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</si>
  <si>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</si>
  <si>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</si>
  <si>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</si>
  <si>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</si>
  <si>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</si>
  <si>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</si>
  <si>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</si>
  <si>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</si>
  <si>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</si>
  <si>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</si>
  <si>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</si>
  <si>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</si>
  <si>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</si>
  <si>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</si>
  <si>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</si>
  <si>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</si>
  <si>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</si>
  <si>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</si>
  <si>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</si>
  <si>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</si>
  <si>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</si>
  <si>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</si>
  <si>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</si>
  <si>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</si>
  <si>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</si>
  <si>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</si>
  <si>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</si>
  <si>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</si>
  <si>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</si>
  <si>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</si>
  <si>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</si>
  <si>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</si>
  <si>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</si>
  <si>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</si>
  <si>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</si>
  <si>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</si>
  <si>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</si>
  <si>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</si>
  <si>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</si>
  <si>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</si>
  <si>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</si>
  <si>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</si>
  <si>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</si>
  <si>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</si>
  <si>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</si>
  <si>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</si>
  <si>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</si>
  <si>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</si>
  <si>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</si>
  <si>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</si>
  <si>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</si>
  <si>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</si>
  <si>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</si>
  <si>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</si>
  <si>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</si>
  <si>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</si>
  <si>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</si>
  <si>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</si>
  <si>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</si>
  <si>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</si>
  <si>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</si>
  <si>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</si>
  <si>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</si>
  <si>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</si>
  <si>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</si>
  <si>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</si>
  <si>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</si>
  <si>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</si>
  <si>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</si>
  <si>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</si>
  <si>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</si>
  <si>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</si>
  <si>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</si>
  <si>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</si>
  <si>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</si>
  <si>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</si>
  <si>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</si>
  <si>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</si>
  <si>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</si>
  <si>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</si>
  <si>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</si>
  <si>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</si>
  <si>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</si>
  <si>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</si>
  <si>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</si>
  <si>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</si>
  <si>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</si>
  <si>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</si>
  <si>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</si>
  <si>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</si>
  <si>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</si>
  <si>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</si>
  <si>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</si>
  <si>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</si>
  <si>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</si>
  <si>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</si>
  <si>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</si>
  <si>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</si>
  <si>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</si>
  <si>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</si>
  <si>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</si>
  <si>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</si>
  <si>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</si>
  <si>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</si>
  <si>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</si>
  <si>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</si>
  <si>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</si>
  <si>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</si>
  <si>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</si>
  <si>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</si>
  <si>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</si>
  <si>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</si>
  <si>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</si>
  <si>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</si>
  <si>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</si>
  <si>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</si>
  <si>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</si>
  <si>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</si>
  <si>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</si>
  <si>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</si>
  <si>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</si>
  <si>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</si>
  <si>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</si>
  <si>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</si>
  <si>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</si>
  <si>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</si>
  <si>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</si>
  <si>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</si>
  <si>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</si>
  <si>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1025 Hpa</t>
  </si>
  <si>
    <t>SEA-SAFE</t>
  </si>
  <si>
    <t>&lt; 24H</t>
  </si>
  <si>
    <t>17 Cº</t>
  </si>
  <si>
    <t>0,240</t>
  </si>
  <si>
    <t>DK99S</t>
  </si>
  <si>
    <t>WATER AND WIND</t>
  </si>
  <si>
    <t>KI-12-F0049</t>
  </si>
  <si>
    <t>909018</t>
  </si>
  <si>
    <t>05/14</t>
  </si>
  <si>
    <t>16,200</t>
  </si>
  <si>
    <t>12,810</t>
  </si>
  <si>
    <t>03/2016</t>
  </si>
  <si>
    <t>PAULOS DIVE AND SAIL, LDA</t>
  </si>
  <si>
    <t>AZ25-088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</si>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</sst>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O71" sqref="O7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AZ25-088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SEA-SAFE</v>
      </c>
      <c r="D12" s="166"/>
      <c r="E12" s="236"/>
      <c r="F12" s="167"/>
      <c r="G12" s="165">
        <f>QUADRO!J7</f>
        <v>12</v>
      </c>
      <c r="H12" s="167"/>
      <c r="I12" s="211" t="str">
        <f>QUADRO!C7</f>
        <v>KI-12-F0049</v>
      </c>
      <c r="J12" s="212"/>
      <c r="K12" s="230" t="str">
        <f>QUADRO!G79</f>
        <v>03/2016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309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909018</v>
      </c>
      <c r="D19" s="198"/>
      <c r="E19" s="198"/>
      <c r="F19" s="199"/>
      <c r="G19" s="227">
        <f>QUADRO!I62</f>
        <v>3.84</v>
      </c>
      <c r="H19" s="227"/>
      <c r="I19" s="227" t="str">
        <f>QUADRO!I64</f>
        <v>0,240</v>
      </c>
      <c r="J19" s="227"/>
      <c r="K19" s="228" t="str">
        <f>QUADRO!I66</f>
        <v>05/14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KI-12-F0049</v>
      </c>
      <c r="J26" s="210"/>
      <c r="K26" s="221">
        <f>QUADRO!F81+366+365+365</f>
        <v>46859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45763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46859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306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325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WATER AND WIND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323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324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317</v>
      </c>
      <c r="D7" s="80" t="s">
        <v>93</v>
      </c>
      <c r="E7" s="309" t="s">
        <v>316</v>
      </c>
      <c r="F7" s="310"/>
      <c r="G7" s="81" t="s">
        <v>94</v>
      </c>
      <c r="H7" s="309" t="s">
        <v>311</v>
      </c>
      <c r="I7" s="318"/>
      <c r="J7" s="321">
        <v>12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315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318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320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321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16.889999999999997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3.84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314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319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313</v>
      </c>
      <c r="I69" s="145" t="s">
        <v>270</v>
      </c>
      <c r="J69" s="299" t="s">
        <v>313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310</v>
      </c>
      <c r="I71" s="145" t="s">
        <v>270</v>
      </c>
      <c r="J71" s="297" t="s">
        <v>310</v>
      </c>
    </row>
    <row r="72" spans="1:11" ht="42" customHeight="1" x14ac:dyDescent="0.3">
      <c r="B72" s="292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140</v>
      </c>
      <c r="D73" s="262">
        <v>138</v>
      </c>
      <c r="E73" s="264">
        <f>1-(D73/C73)</f>
        <v>1.4285714285714235E-2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151</v>
      </c>
      <c r="D75" s="262">
        <v>148</v>
      </c>
      <c r="E75" s="264">
        <f>1-(D75/C75)</f>
        <v>1.9867549668874163E-2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322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45763</v>
      </c>
      <c r="G81" s="159" t="s">
        <v>294</v>
      </c>
      <c r="H81" s="244" t="s">
        <v>307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2025-04-16T15:25:23Z</cp:lastPrinted>
  <dcterms:created xsi:type="dcterms:W3CDTF">2001-08-01T17:12:05Z</dcterms:created>
  <dcterms:modified xsi:type="dcterms:W3CDTF">2025-04-16T15:25:27Z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