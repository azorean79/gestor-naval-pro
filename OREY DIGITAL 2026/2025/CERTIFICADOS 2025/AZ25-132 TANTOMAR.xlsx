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325E9384-5CE2-4160-97C2-CA7A3FC3C95E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<sst xmlns="http://schemas.openxmlformats.org/spreadsheetml/2006/main" count="358" uniqueCount="325">
  <si>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</si>
  <si>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</si>
  <si>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</si>
  <si>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</si>
  <si>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</si>
  <si>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</si>
  <si>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</si>
  <si>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</si>
  <si>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</si>
  <si>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</si>
  <si>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</si>
  <si>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</si>
  <si>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</si>
  <si>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</si>
  <si>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</si>
  <si>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</si>
  <si>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</si>
  <si>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</si>
  <si>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</si>
  <si>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</si>
  <si>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</si>
  <si>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</si>
  <si>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</si>
  <si>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</si>
  <si>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</si>
  <si>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</si>
  <si>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</si>
  <si>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</si>
  <si>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</si>
  <si>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</si>
  <si>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</si>
  <si>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</si>
  <si>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</si>
  <si>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</si>
  <si>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</si>
  <si>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</si>
  <si>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</si>
  <si>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</si>
  <si>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</si>
  <si>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</si>
  <si>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</si>
  <si>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</si>
  <si>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</si>
  <si>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</si>
  <si>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</si>
  <si>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</si>
  <si>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</si>
  <si>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</si>
  <si>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</si>
  <si>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</si>
  <si>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</si>
  <si>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</si>
  <si>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</si>
  <si>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</si>
  <si>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</si>
  <si>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</si>
  <si>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</si>
  <si>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</si>
  <si>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</si>
  <si>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</si>
  <si>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</si>
  <si>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</si>
  <si>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</si>
  <si>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</si>
  <si>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</si>
  <si>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</si>
  <si>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</si>
  <si>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</si>
  <si>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</si>
  <si>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</si>
  <si>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</si>
  <si>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</si>
  <si>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</si>
  <si>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</si>
  <si>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</si>
  <si>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</si>
  <si>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</si>
  <si>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</si>
  <si>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</si>
  <si>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</si>
  <si>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</si>
  <si>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</si>
  <si>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</si>
  <si>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</si>
  <si>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</si>
  <si>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</si>
  <si>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</si>
  <si>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</si>
  <si>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</si>
  <si>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</si>
  <si>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</si>
  <si>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</si>
  <si>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</si>
  <si>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</si>
  <si>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</si>
  <si>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</si>
  <si>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</si>
  <si>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</si>
  <si>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</si>
  <si>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</si>
  <si>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</si>
  <si>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</si>
  <si>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</si>
  <si>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</si>
  <si>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</si>
  <si>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</si>
  <si>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</si>
  <si>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</si>
  <si>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</si>
  <si>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</si>
  <si>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</si>
  <si>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</si>
  <si>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</si>
  <si>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</si>
  <si>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</si>
  <si>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</si>
  <si>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</si>
  <si>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</si>
  <si>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</si>
  <si>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</si>
  <si>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</si>
  <si>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</si>
  <si>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</si>
  <si>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</si>
  <si>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</si>
  <si>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</si>
  <si>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</si>
  <si>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</si>
  <si>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</si>
  <si>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</si>
  <si>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</si>
  <si>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</si>
  <si>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</si>
  <si>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</si>
  <si>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</si>
  <si>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</si>
  <si>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</si>
  <si>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</si>
  <si>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</si>
  <si>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</si>
  <si>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</si>
  <si>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</si>
  <si>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</si>
  <si>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</si>
  <si>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</si>
  <si>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</si>
  <si>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</si>
  <si>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</si>
  <si>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</si>
  <si>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</si>
  <si>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</si>
  <si>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</si>
  <si>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</si>
  <si>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</si>
  <si>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</si>
  <si>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</si>
  <si>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</si>
  <si>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</si>
  <si>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</si>
  <si>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</si>
  <si>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</si>
  <si>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</si>
  <si>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</si>
  <si>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</si>
  <si>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</si>
  <si>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</si>
  <si>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</si>
  <si>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</si>
  <si>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</si>
  <si>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</si>
  <si>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</si>
  <si>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</si>
  <si>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</si>
  <si>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</si>
  <si>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</si>
  <si>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</si>
  <si>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</si>
  <si>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</si>
  <si>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</si>
  <si>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</si>
  <si>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</si>
  <si>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</si>
  <si>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</si>
  <si>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</si>
  <si>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</si>
  <si>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</si>
  <si>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</si>
  <si>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</si>
  <si>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</si>
  <si>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</si>
  <si>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</si>
  <si>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</si>
  <si>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</si>
  <si>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</si>
  <si>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</si>
  <si>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</si>
  <si>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</si>
  <si>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</si>
  <si>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</si>
  <si>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</si>
  <si>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</si>
  <si>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</si>
  <si>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</si>
  <si>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</si>
  <si>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</si>
  <si>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</si>
  <si>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</si>
  <si>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</si>
  <si>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</si>
  <si>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</si>
  <si>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</si>
  <si>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</si>
  <si>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</si>
  <si>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</si>
  <si>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</si>
  <si>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</si>
  <si>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</si>
  <si>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</si>
  <si>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</si>
  <si>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</si>
  <si>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</si>
  <si>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</si>
  <si>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</si>
  <si>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</si>
  <si>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</si>
  <si>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</si>
  <si>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</si>
  <si>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</si>
  <si>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</si>
  <si>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</si>
  <si>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</si>
  <si>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</si>
  <si>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</si>
  <si>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</si>
  <si>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</si>
  <si>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</si>
  <si>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</si>
  <si>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</si>
  <si>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</si>
  <si>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</si>
  <si>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</si>
  <si>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</si>
  <si>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</si>
  <si>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</si>
  <si>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</si>
  <si>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</si>
  <si>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</si>
  <si>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</si>
  <si>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</si>
  <si>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</si>
  <si>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</si>
  <si>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</si>
  <si>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</si>
  <si>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</si>
  <si>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</si>
  <si>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</si>
  <si>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</si>
  <si>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</si>
  <si>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</si>
  <si>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</si>
  <si>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</si>
  <si>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</si>
  <si>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</si>
  <si>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</si>
  <si>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</si>
  <si>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</si>
  <si>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</si>
  <si>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</si>
  <si>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</si>
  <si>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</si>
  <si>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</si>
  <si>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</si>
  <si>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</si>
  <si>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</si>
  <si>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</si>
  <si>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</si>
  <si>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</si>
  <si>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</si>
  <si>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</si>
  <si>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</si>
  <si>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</si>
  <si>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</si>
  <si>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</si>
  <si>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</si>
  <si>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</si>
  <si>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</si>
  <si>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</si>
  <si>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</si>
  <si>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</si>
  <si>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</si>
  <si>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</si>
  <si>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</si>
  <si>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</si>
  <si>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</si>
  <si>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</si>
  <si>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</si>
  <si>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</si>
  <si>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</si>
  <si>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</si>
  <si>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</si>
  <si>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</si>
  <si>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</si>
  <si>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</si>
  <si>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</si>
  <si>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</si>
  <si>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</si>
  <si>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</si>
  <si>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</si>
  <si>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</si>
  <si>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17 Cº</t>
  </si>
  <si>
    <t>DK99S</t>
  </si>
  <si>
    <t>1005 Hpa</t>
  </si>
  <si>
    <t>PORTUGAL</t>
  </si>
  <si>
    <t>TANTOMAR</t>
  </si>
  <si>
    <t>EUROVINIL</t>
  </si>
  <si>
    <t>AZ25-132</t>
  </si>
  <si>
    <t>MANUEL PATRICIO ALVES</t>
  </si>
  <si>
    <t>STD</t>
  </si>
  <si>
    <t>7913824</t>
  </si>
  <si>
    <t>C30286</t>
  </si>
  <si>
    <t>4,950</t>
  </si>
  <si>
    <t>6,280</t>
  </si>
  <si>
    <t>0,110</t>
  </si>
  <si>
    <t>06/01</t>
  </si>
  <si>
    <t>06/2001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</si>
</sst>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E1FA84-16DC-40D4-81FA-3342A02C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D67" sqref="D6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AZ25-132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EUROVINIL</v>
      </c>
      <c r="D12" s="184"/>
      <c r="E12" s="185"/>
      <c r="F12" s="174"/>
      <c r="G12" s="175">
        <f>QUADRO!J7</f>
        <v>6</v>
      </c>
      <c r="H12" s="174"/>
      <c r="I12" s="187" t="str">
        <f>QUADRO!C7</f>
        <v>7913824</v>
      </c>
      <c r="J12" s="188"/>
      <c r="K12" s="173" t="str">
        <f>QUADRO!G79</f>
        <v>06/2001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308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C30286</v>
      </c>
      <c r="D19" s="208"/>
      <c r="E19" s="208"/>
      <c r="F19" s="209"/>
      <c r="G19" s="190">
        <f>QUADRO!I62</f>
        <v>1.9</v>
      </c>
      <c r="H19" s="190"/>
      <c r="I19" s="190" t="str">
        <f>QUADRO!I64</f>
        <v>0,110</v>
      </c>
      <c r="J19" s="190"/>
      <c r="K19" s="191" t="str">
        <f>QUADRO!I66</f>
        <v>06/01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STD</v>
      </c>
      <c r="H26" s="221"/>
      <c r="I26" s="201" t="str">
        <f>QUADRO!C7</f>
        <v>7913824</v>
      </c>
      <c r="J26" s="202"/>
      <c r="K26" s="203">
        <f>QUADRO!F81+366+365+365</f>
        <v>46896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45800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46896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/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312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TANTOMAR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316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G81" sqref="G81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315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318</v>
      </c>
      <c r="D7" s="80" t="s">
        <v>93</v>
      </c>
      <c r="E7" s="256" t="s">
        <v>313</v>
      </c>
      <c r="F7" s="257"/>
      <c r="G7" s="81" t="s">
        <v>94</v>
      </c>
      <c r="H7" s="256" t="s">
        <v>314</v>
      </c>
      <c r="I7" s="268"/>
      <c r="J7" s="271">
        <v>6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317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310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319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321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320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6.96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1.9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322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323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309</v>
      </c>
      <c r="I69" s="145" t="s">
        <v>270</v>
      </c>
      <c r="J69" s="294" t="s">
        <v>309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311</v>
      </c>
      <c r="I71" s="145" t="s">
        <v>270</v>
      </c>
      <c r="J71" s="292" t="s">
        <v>311</v>
      </c>
    </row>
    <row r="72" spans="1:11" ht="42" customHeight="1" x14ac:dyDescent="0.3">
      <c r="B72" s="287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144</v>
      </c>
      <c r="D73" s="299">
        <v>138</v>
      </c>
      <c r="E73" s="301">
        <f>1-(D73/C73)</f>
        <v>4.166666666666663E-2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160</v>
      </c>
      <c r="D75" s="299">
        <v>153</v>
      </c>
      <c r="E75" s="301">
        <f>1-(D75/C75)</f>
        <v>4.3749999999999956E-2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324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45800</v>
      </c>
      <c r="G81" s="159" t="s">
        <v>294</v>
      </c>
      <c r="H81" s="319" t="s">
        <v>306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2025-06-03T13:43:42Z</cp:lastPrinted>
  <dcterms:created xsi:type="dcterms:W3CDTF">2001-08-01T17:12:05Z</dcterms:created>
  <dcterms:modified xsi:type="dcterms:W3CDTF">2025-06-03T13:48:49Z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