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5FA7556-BA0A-4DB9-B2BA-23280EB1A40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<sst xmlns="http://schemas.openxmlformats.org/spreadsheetml/2006/main" count="129" uniqueCount="109">
  <si>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</si>
  <si>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</si>
  <si>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</si>
  <si>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</si>
  <si>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</si>
  <si>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</si>
  <si>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</si>
  <si>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</si>
  <si>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</si>
  <si>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</si>
  <si>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</si>
  <si>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</si>
  <si>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</si>
  <si>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</si>
  <si>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</si>
  <si>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</si>
  <si>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</si>
  <si>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</si>
  <si>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</si>
  <si>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</si>
  <si>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</si>
  <si>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</si>
  <si>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</si>
  <si>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</si>
  <si>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</si>
  <si>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</si>
  <si>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</si>
  <si>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</si>
  <si>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</si>
  <si>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</si>
  <si>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</si>
  <si>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</si>
  <si>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</si>
  <si>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</si>
  <si>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</si>
  <si>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</si>
  <si>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</si>
  <si>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</si>
  <si>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</si>
  <si>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</si>
  <si>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</si>
  <si>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</si>
  <si>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</si>
  <si>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</si>
  <si>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</si>
  <si>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</si>
  <si>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</si>
  <si>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</si>
  <si>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</si>
  <si>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</si>
  <si>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</si>
  <si>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</si>
  <si>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</si>
  <si>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</si>
  <si>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</si>
  <si>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</si>
  <si>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</si>
  <si>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</si>
  <si>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</si>
  <si>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</si>
  <si>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</si>
  <si>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</si>
  <si>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</si>
  <si>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</si>
  <si>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</si>
  <si>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</si>
  <si>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</si>
  <si>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</si>
  <si>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</si>
  <si>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</si>
  <si>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</si>
  <si>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</si>
  <si>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</si>
  <si>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</si>
  <si>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</si>
  <si>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</si>
  <si>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</si>
  <si>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</si>
  <si>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</si>
  <si>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</si>
  <si>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</si>
  <si>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</si>
  <si>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</si>
  <si>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</si>
  <si>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</si>
  <si>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</si>
  <si>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</si>
  <si>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</si>
  <si>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</si>
  <si>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</si>
  <si>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</si>
  <si>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</si>
  <si>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</si>
  <si>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</si>
  <si>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50937 OREY TECHNICA AZORES</t>
  </si>
  <si>
    <t>RFD FERRYMAN</t>
  </si>
  <si>
    <t>30</t>
  </si>
  <si>
    <t>P9033</t>
  </si>
  <si>
    <t>07/2008</t>
  </si>
  <si>
    <t>E</t>
  </si>
  <si>
    <t>CRUZEIRO DO ILHEU</t>
  </si>
  <si>
    <t>CLUBE NAVAL DE VILA FRANCA DO CAMPO</t>
  </si>
  <si>
    <t>YES</t>
  </si>
  <si>
    <t>08/2027</t>
  </si>
  <si>
    <t>AZ25-122</t>
  </si>
  <si>
    <t>DX5954</t>
  </si>
  <si>
    <t>02/21</t>
  </si>
  <si>
    <t>05/25</t>
  </si>
  <si>
    <t>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</si>
</sst>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800100</xdr:colOff>
      <xdr:row>57</xdr:row>
      <xdr:rowOff>30480</xdr:rowOff>
    </xdr:from>
    <xdr:to>
      <xdr:col>11</xdr:col>
      <xdr:colOff>599724</xdr:colOff>
      <xdr:row>67</xdr:row>
      <xdr:rowOff>144780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BEE4ED-784F-4687-965E-046EE739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780" y="92278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6" zoomScaleNormal="100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104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95</v>
      </c>
      <c r="D12" s="71"/>
      <c r="E12" s="72"/>
      <c r="F12" s="73"/>
      <c r="G12" s="74" t="s">
        <v>96</v>
      </c>
      <c r="H12" s="75"/>
      <c r="I12" s="74" t="s">
        <v>97</v>
      </c>
      <c r="J12" s="75"/>
      <c r="K12" s="74" t="s">
        <v>98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89</v>
      </c>
      <c r="D15" s="71"/>
      <c r="E15" s="71"/>
      <c r="F15" s="73"/>
      <c r="G15" s="18">
        <v>18</v>
      </c>
      <c r="H15" s="12" t="s">
        <v>19</v>
      </c>
      <c r="I15" s="18">
        <v>1</v>
      </c>
      <c r="J15" s="12" t="s">
        <v>68</v>
      </c>
      <c r="K15" s="70">
        <v>9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105</v>
      </c>
      <c r="D19" s="80"/>
      <c r="E19" s="80"/>
      <c r="F19" s="81"/>
      <c r="G19" s="77">
        <v>11.26</v>
      </c>
      <c r="H19" s="77"/>
      <c r="I19" s="77">
        <v>0.36</v>
      </c>
      <c r="J19" s="77"/>
      <c r="K19" s="76" t="s">
        <v>106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99</v>
      </c>
      <c r="H26" s="94"/>
      <c r="I26" s="88" t="str">
        <f>I12</f>
        <v>P9033</v>
      </c>
      <c r="J26" s="89"/>
      <c r="K26" s="82" t="s">
        <v>108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93</v>
      </c>
      <c r="H34" s="83"/>
      <c r="I34" s="82"/>
      <c r="J34" s="83"/>
      <c r="K34" s="82" t="s">
        <v>103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102</v>
      </c>
      <c r="F40" s="94"/>
      <c r="G40" s="35" t="s">
        <v>52</v>
      </c>
      <c r="H40" s="94" t="s">
        <v>102</v>
      </c>
      <c r="I40" s="35" t="s">
        <v>73</v>
      </c>
      <c r="J40" s="94" t="s">
        <v>102</v>
      </c>
      <c r="K40" s="35" t="s">
        <v>52</v>
      </c>
      <c r="L40" s="94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107</v>
      </c>
      <c r="F42" s="83"/>
      <c r="G42" s="35" t="s">
        <v>54</v>
      </c>
      <c r="H42" s="83" t="s">
        <v>107</v>
      </c>
      <c r="I42" s="35" t="s">
        <v>54</v>
      </c>
      <c r="J42" s="83" t="s">
        <v>107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45799</v>
      </c>
      <c r="D47" s="105"/>
      <c r="E47" s="105"/>
      <c r="F47" s="106"/>
      <c r="G47" s="70" t="s">
        <v>94</v>
      </c>
      <c r="H47" s="71"/>
      <c r="I47" s="71"/>
      <c r="J47" s="73"/>
      <c r="K47" s="99">
        <f>C47+365</f>
        <v>46164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91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92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100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101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2025-05-28T14:25:33Z</cp:lastPrinted>
  <dcterms:created xsi:type="dcterms:W3CDTF">2001-08-01T17:12:05Z</dcterms:created>
  <dcterms:modified xsi:type="dcterms:W3CDTF">2025-05-28T14:25:46Z</dcterms:modified>
</cp:coreProperties>
</file>