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BA806E52-3170-49A5-8021-7116D9A87CA8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M62" i="10" l="1"/>
  <c r="K34" i="9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<sst xmlns="http://schemas.openxmlformats.org/spreadsheetml/2006/main" count="361" uniqueCount="328">
  <si>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</si>
  <si>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</si>
  <si>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</si>
  <si>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</si>
  <si>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</si>
  <si>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</si>
  <si>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</si>
  <si>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</si>
  <si>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</si>
  <si>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</si>
  <si>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</si>
  <si>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</si>
  <si>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</si>
  <si>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</si>
  <si>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</si>
  <si>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</si>
  <si>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</si>
  <si>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</si>
  <si>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</si>
  <si>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</si>
  <si>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</si>
  <si>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</si>
  <si>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</si>
  <si>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</si>
  <si>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</si>
  <si>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</si>
  <si>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</si>
  <si>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</si>
  <si>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</si>
  <si>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</si>
  <si>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</si>
  <si>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</si>
  <si>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</si>
  <si>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</si>
  <si>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</si>
  <si>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</si>
  <si>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</si>
  <si>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</si>
  <si>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</si>
  <si>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</si>
  <si>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</si>
  <si>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</si>
  <si>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</si>
  <si>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</si>
  <si>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</si>
  <si>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</si>
  <si>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</si>
  <si>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</si>
  <si>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</si>
  <si>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</si>
  <si>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</si>
  <si>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</si>
  <si>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</si>
  <si>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</si>
  <si>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</si>
  <si>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</si>
  <si>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</si>
  <si>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</si>
  <si>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</si>
  <si>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</si>
  <si>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</si>
  <si>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</si>
  <si>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</si>
  <si>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</si>
  <si>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</si>
  <si>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</si>
  <si>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</si>
  <si>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</si>
  <si>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</si>
  <si>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</si>
  <si>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</si>
  <si>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</si>
  <si>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</si>
  <si>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</si>
  <si>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</si>
  <si>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</si>
  <si>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</si>
  <si>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</si>
  <si>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</si>
  <si>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</si>
  <si>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</si>
  <si>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</si>
  <si>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</si>
  <si>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</si>
  <si>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</si>
  <si>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</si>
  <si>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</si>
  <si>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</si>
  <si>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</si>
  <si>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</si>
  <si>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</si>
  <si>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</si>
  <si>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</si>
  <si>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</si>
  <si>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</si>
  <si>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</si>
  <si>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</si>
  <si>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</si>
  <si>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</si>
  <si>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</si>
  <si>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</si>
  <si>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</si>
  <si>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</si>
  <si>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</si>
  <si>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</si>
  <si>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</si>
  <si>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</si>
  <si>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</si>
  <si>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</si>
  <si>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</si>
  <si>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</si>
  <si>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</si>
  <si>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</si>
  <si>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</si>
  <si>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</si>
  <si>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</si>
  <si>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</si>
  <si>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</si>
  <si>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</si>
  <si>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</si>
  <si>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</si>
  <si>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</si>
  <si>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</si>
  <si>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</si>
  <si>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</si>
  <si>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</si>
  <si>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</si>
  <si>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</si>
  <si>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</si>
  <si>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</si>
  <si>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</si>
  <si>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</si>
  <si>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</si>
  <si>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</si>
  <si>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</si>
  <si>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</si>
  <si>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</si>
  <si>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</si>
  <si>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</si>
  <si>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</si>
  <si>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</si>
  <si>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</si>
  <si>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</si>
  <si>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</si>
  <si>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</si>
  <si>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</si>
  <si>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</si>
  <si>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</si>
  <si>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</si>
  <si>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</si>
  <si>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</si>
  <si>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</si>
  <si>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</si>
  <si>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</si>
  <si>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</si>
  <si>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</si>
  <si>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</si>
  <si>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</si>
  <si>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</si>
  <si>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</si>
  <si>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</si>
  <si>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</si>
  <si>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</si>
  <si>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</si>
  <si>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</si>
  <si>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</si>
  <si>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</si>
  <si>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</si>
  <si>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</si>
  <si>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</si>
  <si>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</si>
  <si>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</si>
  <si>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</si>
  <si>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</si>
  <si>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</si>
  <si>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</si>
  <si>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</si>
  <si>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</si>
  <si>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</si>
  <si>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</si>
  <si>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</si>
  <si>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</si>
  <si>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</si>
  <si>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</si>
  <si>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</si>
  <si>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</si>
  <si>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</si>
  <si>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</si>
  <si>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</si>
  <si>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</si>
  <si>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</si>
  <si>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</si>
  <si>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</si>
  <si>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</si>
  <si>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</si>
  <si>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</si>
  <si>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</si>
  <si>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</si>
  <si>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</si>
  <si>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</si>
  <si>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</si>
  <si>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</si>
  <si>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</si>
  <si>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</si>
  <si>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</si>
  <si>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</si>
  <si>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</si>
  <si>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</si>
  <si>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</si>
  <si>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</si>
  <si>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</si>
  <si>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</si>
  <si>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</si>
  <si>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</si>
  <si>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</si>
  <si>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</si>
  <si>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</si>
  <si>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</si>
  <si>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</si>
  <si>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</si>
  <si>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</si>
  <si>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</si>
  <si>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</si>
  <si>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</si>
  <si>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</si>
  <si>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</si>
  <si>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</si>
  <si>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</si>
  <si>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</si>
  <si>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</si>
  <si>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</si>
  <si>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</si>
  <si>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</si>
  <si>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</si>
  <si>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</si>
  <si>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</si>
  <si>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</si>
  <si>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</si>
  <si>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</si>
  <si>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</si>
  <si>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</si>
  <si>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</si>
  <si>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</si>
  <si>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</si>
  <si>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</si>
  <si>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</si>
  <si>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</si>
  <si>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</si>
  <si>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</si>
  <si>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</si>
  <si>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</si>
  <si>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</si>
  <si>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</si>
  <si>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</si>
  <si>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</si>
  <si>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</si>
  <si>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</si>
  <si>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</si>
  <si>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</si>
  <si>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</si>
  <si>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</si>
  <si>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</si>
  <si>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</si>
  <si>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</si>
  <si>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</si>
  <si>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</si>
  <si>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</si>
  <si>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</si>
  <si>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</si>
  <si>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</si>
  <si>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</si>
  <si>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</si>
  <si>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</si>
  <si>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</si>
  <si>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</si>
  <si>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</si>
  <si>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</si>
  <si>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</si>
  <si>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</si>
  <si>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</si>
  <si>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</si>
  <si>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</si>
  <si>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</si>
  <si>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</si>
  <si>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</si>
  <si>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</si>
  <si>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</si>
  <si>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</si>
  <si>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</si>
  <si>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</si>
  <si>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</si>
  <si>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</si>
  <si>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</si>
  <si>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</si>
  <si>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</si>
  <si>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</si>
  <si>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</si>
  <si>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</si>
  <si>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</si>
  <si>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</si>
  <si>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</si>
  <si>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</si>
  <si>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</si>
  <si>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</si>
  <si>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</si>
  <si>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</si>
  <si>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</si>
  <si>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</si>
  <si>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SOLAS</t>
  </si>
  <si>
    <t>PORTUGAL</t>
  </si>
  <si>
    <t>16 Cº</t>
  </si>
  <si>
    <t>1000 Hpa</t>
  </si>
  <si>
    <t>AZ25-055</t>
  </si>
  <si>
    <t>21/0297</t>
  </si>
  <si>
    <t>HERO</t>
  </si>
  <si>
    <t>JX126291</t>
  </si>
  <si>
    <t>10,300</t>
  </si>
  <si>
    <t>0,110</t>
  </si>
  <si>
    <t>05/21</t>
  </si>
  <si>
    <t>GIST</t>
  </si>
  <si>
    <t>=I58-I62-I64</t>
  </si>
  <si>
    <t>7,430</t>
  </si>
  <si>
    <t>05/2021</t>
  </si>
  <si>
    <t>6 m</t>
  </si>
  <si>
    <t>*- 24H</t>
  </si>
  <si>
    <t>DECEIVER</t>
  </si>
  <si>
    <t>PU</t>
  </si>
  <si>
    <t>ZACKS DAY SPORTFISHING 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</si>
</sst>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43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30" fillId="0" borderId="5" xfId="0" applyNumberFormat="1" applyFont="1" applyFill="1" applyBorder="1" applyAlignment="1" applyProtection="1">
      <alignment horizontal="center" vertical="center"/>
      <protection locked="0"/>
    </xf>
    <xf numFmtId="1" fontId="30" fillId="0" borderId="6" xfId="0" applyNumberFormat="1" applyFont="1" applyFill="1" applyBorder="1" applyAlignment="1" applyProtection="1">
      <alignment horizontal="center" vertical="center"/>
      <protection locked="0"/>
    </xf>
    <xf numFmtId="1" fontId="30" fillId="0" borderId="2" xfId="0" applyNumberFormat="1" applyFont="1" applyFill="1" applyBorder="1" applyAlignment="1" applyProtection="1">
      <alignment horizontal="center" vertical="center"/>
      <protection locked="0"/>
    </xf>
    <xf numFmtId="1" fontId="30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30" fillId="0" borderId="5" xfId="0" applyNumberFormat="1" applyFont="1" applyFill="1" applyBorder="1" applyAlignment="1" applyProtection="1">
      <alignment horizontal="center" vertical="center"/>
      <protection locked="0"/>
    </xf>
    <xf numFmtId="49" fontId="30" fillId="0" borderId="6" xfId="0" applyNumberFormat="1" applyFont="1" applyFill="1" applyBorder="1" applyAlignment="1" applyProtection="1">
      <alignment horizontal="center" vertical="center"/>
      <protection locked="0"/>
    </xf>
    <xf numFmtId="49" fontId="30" fillId="0" borderId="2" xfId="0" applyNumberFormat="1" applyFont="1" applyFill="1" applyBorder="1" applyAlignment="1" applyProtection="1">
      <alignment horizontal="center" vertical="center"/>
      <protection locked="0"/>
    </xf>
    <xf numFmtId="49" fontId="30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2</xdr:col>
          <xdr:colOff>1638300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2</xdr:col>
          <xdr:colOff>1638300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2</xdr:col>
          <xdr:colOff>1638300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2</xdr:col>
          <xdr:colOff>1638300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2</xdr:col>
          <xdr:colOff>1638300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2</xdr:col>
          <xdr:colOff>1638300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2</xdr:col>
          <xdr:colOff>1638300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workbookViewId="0">
      <selection activeCell="D67" sqref="D67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43" t="s">
        <v>75</v>
      </c>
      <c r="J3" s="243"/>
      <c r="K3" s="239" t="str">
        <f>QUADRO!I5</f>
        <v>AZ25-055</v>
      </c>
      <c r="L3" s="24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34" t="s">
        <v>76</v>
      </c>
      <c r="J4" s="234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41" t="s">
        <v>67</v>
      </c>
      <c r="B6" s="241"/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6"/>
    </row>
    <row r="7" spans="1:13" x14ac:dyDescent="0.25">
      <c r="A7" s="234" t="s">
        <v>2</v>
      </c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4"/>
    </row>
    <row r="8" spans="1:13" ht="15" x14ac:dyDescent="0.25">
      <c r="A8" s="23"/>
      <c r="B8" s="242" t="s">
        <v>77</v>
      </c>
      <c r="C8" s="242"/>
      <c r="D8" s="242"/>
      <c r="E8" s="242"/>
      <c r="F8" s="242"/>
      <c r="G8" s="242"/>
      <c r="H8" s="242"/>
      <c r="I8" s="242"/>
      <c r="J8" s="242"/>
      <c r="K8" s="24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HERO</v>
      </c>
      <c r="D12" s="166"/>
      <c r="E12" s="244"/>
      <c r="F12" s="167"/>
      <c r="G12" s="165">
        <f>QUADRO!J7</f>
        <v>8</v>
      </c>
      <c r="H12" s="167"/>
      <c r="I12" s="227" t="str">
        <f>QUADRO!C7</f>
        <v>21/0297</v>
      </c>
      <c r="J12" s="228"/>
      <c r="K12" s="238" t="str">
        <f>QUADRO!G79</f>
        <v>05/2021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326</v>
      </c>
      <c r="D15" s="176"/>
      <c r="E15" s="176"/>
      <c r="F15" s="177"/>
      <c r="G15" s="26">
        <v>11</v>
      </c>
      <c r="H15" s="20" t="s">
        <v>19</v>
      </c>
      <c r="I15" s="26">
        <v>1</v>
      </c>
      <c r="J15" s="20" t="s">
        <v>68</v>
      </c>
      <c r="K15" s="216" t="s">
        <v>323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34" t="s">
        <v>25</v>
      </c>
      <c r="D18" s="234"/>
      <c r="E18" s="234"/>
      <c r="F18" s="8"/>
      <c r="G18" s="234" t="s">
        <v>26</v>
      </c>
      <c r="H18" s="234"/>
      <c r="I18" s="234" t="s">
        <v>27</v>
      </c>
      <c r="J18" s="234"/>
      <c r="K18" s="234" t="s">
        <v>28</v>
      </c>
      <c r="L18" s="234"/>
      <c r="M18" s="1"/>
    </row>
    <row r="19" spans="1:13" s="16" customFormat="1" ht="15" x14ac:dyDescent="0.25">
      <c r="A19" s="11"/>
      <c r="B19" s="11"/>
      <c r="C19" s="197" t="str">
        <f>QUADRO!I56</f>
        <v>JX126291</v>
      </c>
      <c r="D19" s="198"/>
      <c r="E19" s="198"/>
      <c r="F19" s="199"/>
      <c r="G19" s="235">
        <f>QUADRO!I62</f>
        <v>2.76</v>
      </c>
      <c r="H19" s="235"/>
      <c r="I19" s="235" t="str">
        <f>QUADRO!I64</f>
        <v>0,110</v>
      </c>
      <c r="J19" s="235"/>
      <c r="K19" s="236" t="str">
        <f>QUADRO!I66</f>
        <v>05/21</v>
      </c>
      <c r="L19" s="237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35"/>
      <c r="H20" s="235"/>
      <c r="I20" s="235"/>
      <c r="J20" s="235"/>
      <c r="K20" s="236"/>
      <c r="L20" s="237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33"/>
      <c r="H21" s="233"/>
      <c r="I21" s="233"/>
      <c r="J21" s="233"/>
      <c r="K21" s="233"/>
      <c r="L21" s="233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33"/>
      <c r="H22" s="233"/>
      <c r="I22" s="233"/>
      <c r="J22" s="233"/>
      <c r="K22" s="233"/>
      <c r="L22" s="233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34" t="s">
        <v>34</v>
      </c>
      <c r="H25" s="234"/>
      <c r="I25" s="234" t="s">
        <v>25</v>
      </c>
      <c r="J25" s="234"/>
      <c r="K25" s="234" t="s">
        <v>35</v>
      </c>
      <c r="L25" s="234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2" t="str">
        <f>QUADRO!F47</f>
        <v>*- 24H</v>
      </c>
      <c r="H26" s="196"/>
      <c r="I26" s="225" t="str">
        <f>QUADRO!C7</f>
        <v>21/0297</v>
      </c>
      <c r="J26" s="226"/>
      <c r="K26" s="229">
        <f>QUADRO!F81+366+365+365</f>
        <v>46829</v>
      </c>
      <c r="L26" s="230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27"/>
      <c r="J27" s="228"/>
      <c r="K27" s="231"/>
      <c r="L27" s="232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23"/>
      <c r="H29" s="224"/>
      <c r="I29" s="223"/>
      <c r="J29" s="224"/>
      <c r="K29" s="223"/>
      <c r="L29" s="224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23"/>
      <c r="H31" s="224"/>
      <c r="I31" s="223"/>
      <c r="J31" s="224"/>
      <c r="K31" s="223"/>
      <c r="L31" s="224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23"/>
      <c r="J33" s="224"/>
      <c r="K33" s="223"/>
      <c r="L33" s="224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7" t="s">
        <v>308</v>
      </c>
      <c r="H34" s="218"/>
      <c r="I34" s="217"/>
      <c r="J34" s="218"/>
      <c r="K34" s="209">
        <f>QUADRO!J13</f>
        <v>0</v>
      </c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9"/>
      <c r="H35" s="220"/>
      <c r="I35" s="219"/>
      <c r="J35" s="220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21"/>
      <c r="D37" s="221"/>
      <c r="E37" s="221"/>
      <c r="F37" s="27"/>
      <c r="G37" s="221"/>
      <c r="H37" s="221"/>
      <c r="I37" s="221"/>
      <c r="J37" s="221"/>
      <c r="K37" s="221"/>
      <c r="L37" s="221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300</v>
      </c>
      <c r="F40" s="175"/>
      <c r="G40" s="52" t="s">
        <v>52</v>
      </c>
      <c r="H40" s="193" t="s">
        <v>300</v>
      </c>
      <c r="I40" s="52" t="s">
        <v>73</v>
      </c>
      <c r="J40" s="193" t="s">
        <v>300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45733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C47+365+365+365</f>
        <v>46828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 t="s">
        <v>305</v>
      </c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47" t="s">
        <v>309</v>
      </c>
      <c r="E57" s="247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47"/>
      <c r="E58" s="247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8"/>
      <c r="E59" s="248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8"/>
      <c r="E60" s="248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47"/>
      <c r="E61" s="247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47"/>
      <c r="E62" s="247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9" t="str">
        <f>QUADRO!E7</f>
        <v>DECEIVER</v>
      </c>
      <c r="E63" s="249"/>
      <c r="F63" s="249"/>
      <c r="G63" s="249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9"/>
      <c r="E64" s="249"/>
      <c r="F64" s="249"/>
      <c r="G64" s="249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47" t="s">
        <v>327</v>
      </c>
      <c r="E65" s="247"/>
      <c r="F65" s="247"/>
      <c r="G65" s="247"/>
      <c r="H65" s="247"/>
      <c r="I65" s="247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47"/>
      <c r="E66" s="247"/>
      <c r="F66" s="247"/>
      <c r="G66" s="247"/>
      <c r="H66" s="247"/>
      <c r="I66" s="247"/>
      <c r="J66" s="234" t="s">
        <v>0</v>
      </c>
      <c r="K66" s="234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45" t="s">
        <v>304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</row>
    <row r="70" spans="1:13" x14ac:dyDescent="0.25">
      <c r="A70" s="245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</row>
    <row r="71" spans="1:13" x14ac:dyDescent="0.25">
      <c r="A71" s="245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</row>
    <row r="72" spans="1:13" x14ac:dyDescent="0.25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</row>
    <row r="73" spans="1:13" x14ac:dyDescent="0.25">
      <c r="A73" s="245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</row>
    <row r="74" spans="1:13" x14ac:dyDescent="0.25">
      <c r="A74" s="245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</row>
    <row r="75" spans="1:13" x14ac:dyDescent="0.25">
      <c r="A75" s="245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</row>
    <row r="76" spans="1:13" x14ac:dyDescent="0.25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45"/>
    </row>
    <row r="77" spans="1:13" x14ac:dyDescent="0.25">
      <c r="G77" s="246" t="s">
        <v>81</v>
      </c>
      <c r="H77" s="246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zoomScale="48" zoomScaleNormal="48" workbookViewId="0">
      <selection activeCell="E9" sqref="E9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5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31" t="s">
        <v>86</v>
      </c>
      <c r="E3" s="331"/>
      <c r="F3" s="331"/>
      <c r="G3" s="331"/>
      <c r="H3" s="332" t="s">
        <v>87</v>
      </c>
      <c r="I3" s="334"/>
      <c r="J3" s="335"/>
    </row>
    <row r="4" spans="2:15" s="79" customFormat="1" ht="23.4" customHeight="1" x14ac:dyDescent="0.4">
      <c r="B4" s="77" t="s">
        <v>88</v>
      </c>
      <c r="C4" s="78"/>
      <c r="D4" s="336" t="s">
        <v>89</v>
      </c>
      <c r="E4" s="336"/>
      <c r="F4" s="336"/>
      <c r="G4" s="337"/>
      <c r="H4" s="333"/>
      <c r="I4" s="335"/>
      <c r="J4" s="335"/>
    </row>
    <row r="5" spans="2:15" s="79" customFormat="1" ht="23.4" customHeight="1" x14ac:dyDescent="0.4">
      <c r="B5" s="77" t="s">
        <v>90</v>
      </c>
      <c r="C5" s="77"/>
      <c r="H5" s="338" t="s">
        <v>91</v>
      </c>
      <c r="I5" s="340" t="s">
        <v>312</v>
      </c>
      <c r="J5" s="341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9"/>
      <c r="I6" s="342"/>
      <c r="J6" s="342"/>
    </row>
    <row r="7" spans="2:15" ht="23.4" customHeight="1" x14ac:dyDescent="0.3">
      <c r="B7" s="80" t="s">
        <v>92</v>
      </c>
      <c r="C7" s="315" t="s">
        <v>313</v>
      </c>
      <c r="D7" s="80" t="s">
        <v>93</v>
      </c>
      <c r="E7" s="317" t="s">
        <v>325</v>
      </c>
      <c r="F7" s="318"/>
      <c r="G7" s="81" t="s">
        <v>94</v>
      </c>
      <c r="H7" s="317" t="s">
        <v>314</v>
      </c>
      <c r="I7" s="326"/>
      <c r="J7" s="329">
        <v>8</v>
      </c>
    </row>
    <row r="8" spans="2:15" ht="23.4" customHeight="1" x14ac:dyDescent="0.3">
      <c r="B8" s="82" t="s">
        <v>95</v>
      </c>
      <c r="C8" s="316"/>
      <c r="D8" s="82" t="s">
        <v>96</v>
      </c>
      <c r="E8" s="319"/>
      <c r="F8" s="320"/>
      <c r="G8" s="83" t="s">
        <v>97</v>
      </c>
      <c r="H8" s="327"/>
      <c r="I8" s="328"/>
      <c r="J8" s="330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299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301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324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4" ht="23.4" customHeight="1" x14ac:dyDescent="0.4">
      <c r="B49" s="82" t="s">
        <v>212</v>
      </c>
      <c r="C49" s="106" t="s">
        <v>319</v>
      </c>
      <c r="D49" s="82" t="s">
        <v>213</v>
      </c>
      <c r="E49" s="104"/>
      <c r="F49" s="103"/>
      <c r="G49" s="82"/>
      <c r="H49" s="135"/>
      <c r="I49" s="131"/>
      <c r="J49" s="132"/>
    </row>
    <row r="50" spans="1:14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4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4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4" ht="23.4" customHeight="1" x14ac:dyDescent="0.4">
      <c r="B53" s="82" t="s">
        <v>222</v>
      </c>
      <c r="C53" s="112"/>
      <c r="D53" s="82" t="s">
        <v>223</v>
      </c>
      <c r="E53" s="104"/>
      <c r="F53" s="106"/>
      <c r="G53" s="84"/>
      <c r="H53" s="137"/>
      <c r="I53" s="131"/>
      <c r="J53" s="132" t="s">
        <v>1</v>
      </c>
    </row>
    <row r="54" spans="1:14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4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4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21" t="s">
        <v>232</v>
      </c>
      <c r="H56" s="322"/>
      <c r="I56" s="323" t="s">
        <v>315</v>
      </c>
      <c r="J56" s="324"/>
      <c r="M56" s="163"/>
    </row>
    <row r="57" spans="1:14" ht="23.4" customHeight="1" x14ac:dyDescent="0.4">
      <c r="B57" s="125" t="s">
        <v>233</v>
      </c>
      <c r="C57" s="140"/>
      <c r="D57" s="82" t="s">
        <v>234</v>
      </c>
      <c r="E57" s="104"/>
      <c r="F57" s="103"/>
      <c r="G57" s="314" t="s">
        <v>235</v>
      </c>
      <c r="H57" s="293"/>
      <c r="I57" s="289"/>
      <c r="J57" s="325"/>
    </row>
    <row r="58" spans="1:14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13" t="s">
        <v>238</v>
      </c>
      <c r="H58" s="287"/>
      <c r="I58" s="288" t="s">
        <v>316</v>
      </c>
      <c r="J58" s="290"/>
      <c r="M58" s="163"/>
    </row>
    <row r="59" spans="1:14" ht="23.4" customHeight="1" x14ac:dyDescent="0.4">
      <c r="B59" s="84" t="s">
        <v>239</v>
      </c>
      <c r="C59" s="100"/>
      <c r="D59" s="82" t="s">
        <v>240</v>
      </c>
      <c r="E59" s="104"/>
      <c r="F59" s="141"/>
      <c r="G59" s="314" t="s">
        <v>241</v>
      </c>
      <c r="H59" s="293"/>
      <c r="I59" s="289"/>
      <c r="J59" s="291"/>
      <c r="N59" s="164"/>
    </row>
    <row r="60" spans="1:14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13" t="s">
        <v>244</v>
      </c>
      <c r="H60" s="287"/>
      <c r="I60" s="288" t="s">
        <v>321</v>
      </c>
      <c r="J60" s="290"/>
      <c r="M60" s="163" t="s">
        <v>320</v>
      </c>
    </row>
    <row r="61" spans="1:14" ht="23.4" customHeight="1" x14ac:dyDescent="0.4">
      <c r="B61" s="82" t="s">
        <v>245</v>
      </c>
      <c r="C61" s="103"/>
      <c r="D61" s="125" t="s">
        <v>246</v>
      </c>
      <c r="E61" s="138"/>
      <c r="F61" s="140"/>
      <c r="G61" s="314" t="s">
        <v>247</v>
      </c>
      <c r="H61" s="293"/>
      <c r="I61" s="289"/>
      <c r="J61" s="291"/>
    </row>
    <row r="62" spans="1:14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86" t="s">
        <v>250</v>
      </c>
      <c r="H62" s="287"/>
      <c r="I62" s="309">
        <v>2.76</v>
      </c>
      <c r="J62" s="311"/>
      <c r="M62" s="163">
        <f>I58-I62-I64</f>
        <v>7.4300000000000006</v>
      </c>
    </row>
    <row r="63" spans="1:14" ht="23.4" customHeight="1" x14ac:dyDescent="0.4">
      <c r="B63" s="84" t="s">
        <v>251</v>
      </c>
      <c r="C63" s="103"/>
      <c r="D63" s="82" t="s">
        <v>252</v>
      </c>
      <c r="E63" s="104"/>
      <c r="F63" s="106"/>
      <c r="G63" s="292" t="s">
        <v>253</v>
      </c>
      <c r="H63" s="293"/>
      <c r="I63" s="310"/>
      <c r="J63" s="312"/>
    </row>
    <row r="64" spans="1:14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13" t="s">
        <v>256</v>
      </c>
      <c r="H64" s="287"/>
      <c r="I64" s="288" t="s">
        <v>317</v>
      </c>
      <c r="J64" s="290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14" t="s">
        <v>259</v>
      </c>
      <c r="H65" s="293"/>
      <c r="I65" s="289"/>
      <c r="J65" s="291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86" t="s">
        <v>262</v>
      </c>
      <c r="H66" s="287"/>
      <c r="I66" s="288" t="s">
        <v>318</v>
      </c>
      <c r="J66" s="290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92" t="s">
        <v>265</v>
      </c>
      <c r="H67" s="293"/>
      <c r="I67" s="289"/>
      <c r="J67" s="291"/>
    </row>
    <row r="68" spans="1:11" ht="5.25" customHeight="1" x14ac:dyDescent="0.3">
      <c r="B68" s="294"/>
      <c r="C68" s="295"/>
      <c r="D68" s="295"/>
      <c r="E68" s="295"/>
      <c r="F68" s="295"/>
      <c r="G68" s="295"/>
      <c r="H68" s="295"/>
      <c r="I68" s="295"/>
      <c r="J68" s="296"/>
    </row>
    <row r="69" spans="1:11" ht="21" x14ac:dyDescent="0.3">
      <c r="B69" s="297" t="s">
        <v>266</v>
      </c>
      <c r="C69" s="143" t="s">
        <v>267</v>
      </c>
      <c r="D69" s="301" t="s">
        <v>303</v>
      </c>
      <c r="E69" s="302"/>
      <c r="F69" s="144" t="s">
        <v>268</v>
      </c>
      <c r="G69" s="145" t="s">
        <v>269</v>
      </c>
      <c r="H69" s="305" t="s">
        <v>310</v>
      </c>
      <c r="I69" s="145" t="s">
        <v>270</v>
      </c>
      <c r="J69" s="307" t="s">
        <v>310</v>
      </c>
    </row>
    <row r="70" spans="1:11" ht="21.6" customHeight="1" x14ac:dyDescent="0.3">
      <c r="B70" s="298"/>
      <c r="C70" s="146" t="s">
        <v>271</v>
      </c>
      <c r="D70" s="303"/>
      <c r="E70" s="304"/>
      <c r="F70" s="147" t="s">
        <v>272</v>
      </c>
      <c r="G70" s="148" t="s">
        <v>273</v>
      </c>
      <c r="H70" s="306"/>
      <c r="I70" s="148" t="s">
        <v>274</v>
      </c>
      <c r="J70" s="308"/>
    </row>
    <row r="71" spans="1:11" ht="21" x14ac:dyDescent="0.3">
      <c r="B71" s="299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305" t="s">
        <v>311</v>
      </c>
      <c r="I71" s="145" t="s">
        <v>270</v>
      </c>
      <c r="J71" s="305" t="s">
        <v>311</v>
      </c>
    </row>
    <row r="72" spans="1:11" ht="42" customHeight="1" x14ac:dyDescent="0.3">
      <c r="B72" s="300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306"/>
      <c r="I72" s="153" t="s">
        <v>274</v>
      </c>
      <c r="J72" s="306"/>
    </row>
    <row r="73" spans="1:11" ht="21.6" customHeight="1" x14ac:dyDescent="0.3">
      <c r="B73" s="154" t="s">
        <v>281</v>
      </c>
      <c r="C73" s="270">
        <v>77.2</v>
      </c>
      <c r="D73" s="270">
        <v>75.099999999999994</v>
      </c>
      <c r="E73" s="272">
        <f>1-(D73/C73)</f>
        <v>2.72020725388602E-2</v>
      </c>
      <c r="F73" s="274" t="s">
        <v>282</v>
      </c>
      <c r="G73" s="277"/>
      <c r="H73" s="278"/>
      <c r="I73" s="278"/>
      <c r="J73" s="279"/>
    </row>
    <row r="74" spans="1:11" ht="21.6" customHeight="1" x14ac:dyDescent="0.3">
      <c r="B74" s="155" t="s">
        <v>283</v>
      </c>
      <c r="C74" s="271"/>
      <c r="D74" s="271"/>
      <c r="E74" s="273"/>
      <c r="F74" s="275"/>
      <c r="G74" s="280"/>
      <c r="H74" s="281"/>
      <c r="I74" s="281"/>
      <c r="J74" s="282"/>
    </row>
    <row r="75" spans="1:11" ht="21.6" customHeight="1" x14ac:dyDescent="0.3">
      <c r="B75" s="154" t="s">
        <v>284</v>
      </c>
      <c r="C75" s="270">
        <v>79.400000000000006</v>
      </c>
      <c r="D75" s="270">
        <v>77.400000000000006</v>
      </c>
      <c r="E75" s="272">
        <f>1-(D75/C75)</f>
        <v>2.5188916876574319E-2</v>
      </c>
      <c r="F75" s="275"/>
      <c r="G75" s="280"/>
      <c r="H75" s="281"/>
      <c r="I75" s="281"/>
      <c r="J75" s="282"/>
    </row>
    <row r="76" spans="1:11" ht="21.6" customHeight="1" x14ac:dyDescent="0.3">
      <c r="B76" s="155" t="s">
        <v>285</v>
      </c>
      <c r="C76" s="271"/>
      <c r="D76" s="271"/>
      <c r="E76" s="273"/>
      <c r="F76" s="275"/>
      <c r="G76" s="280"/>
      <c r="H76" s="281"/>
      <c r="I76" s="281"/>
      <c r="J76" s="282"/>
    </row>
    <row r="77" spans="1:11" ht="21" customHeight="1" x14ac:dyDescent="0.3">
      <c r="B77" s="154" t="s">
        <v>286</v>
      </c>
      <c r="C77" s="258"/>
      <c r="D77" s="258"/>
      <c r="E77" s="260" t="e">
        <f>1-(D77/C77)</f>
        <v>#DIV/0!</v>
      </c>
      <c r="F77" s="275"/>
      <c r="G77" s="280"/>
      <c r="H77" s="281"/>
      <c r="I77" s="281"/>
      <c r="J77" s="282"/>
    </row>
    <row r="78" spans="1:11" ht="21" customHeight="1" x14ac:dyDescent="0.3">
      <c r="B78" s="155" t="s">
        <v>287</v>
      </c>
      <c r="C78" s="259"/>
      <c r="D78" s="259"/>
      <c r="E78" s="261"/>
      <c r="F78" s="276"/>
      <c r="G78" s="283"/>
      <c r="H78" s="284"/>
      <c r="I78" s="284"/>
      <c r="J78" s="285"/>
    </row>
    <row r="79" spans="1:11" s="96" customFormat="1" ht="21.6" customHeight="1" x14ac:dyDescent="0.3">
      <c r="A79" s="76"/>
      <c r="B79" s="154" t="s">
        <v>288</v>
      </c>
      <c r="C79" s="258"/>
      <c r="D79" s="258"/>
      <c r="E79" s="260" t="e">
        <f>1-(D79/C79)</f>
        <v>#DIV/0!</v>
      </c>
      <c r="F79" s="156" t="s">
        <v>289</v>
      </c>
      <c r="G79" s="262" t="s">
        <v>322</v>
      </c>
      <c r="H79" s="264"/>
      <c r="I79" s="265"/>
      <c r="J79" s="266"/>
      <c r="K79" s="76"/>
    </row>
    <row r="80" spans="1:11" ht="21" customHeight="1" x14ac:dyDescent="0.3">
      <c r="B80" s="155" t="s">
        <v>290</v>
      </c>
      <c r="C80" s="259"/>
      <c r="D80" s="259"/>
      <c r="E80" s="261"/>
      <c r="F80" s="157" t="s">
        <v>291</v>
      </c>
      <c r="G80" s="263"/>
      <c r="H80" s="267"/>
      <c r="I80" s="268"/>
      <c r="J80" s="269"/>
    </row>
    <row r="81" spans="1:11" ht="30" customHeight="1" x14ac:dyDescent="0.3">
      <c r="A81" s="96"/>
      <c r="B81" s="158" t="s">
        <v>292</v>
      </c>
      <c r="C81" s="252" t="s">
        <v>302</v>
      </c>
      <c r="D81" s="254"/>
      <c r="E81" s="159" t="s">
        <v>293</v>
      </c>
      <c r="F81" s="250">
        <v>45733</v>
      </c>
      <c r="G81" s="159" t="s">
        <v>294</v>
      </c>
      <c r="H81" s="252" t="s">
        <v>306</v>
      </c>
      <c r="I81" s="253"/>
      <c r="J81" s="254"/>
      <c r="K81" s="96"/>
    </row>
    <row r="82" spans="1:11" ht="28.2" customHeight="1" x14ac:dyDescent="0.3">
      <c r="B82" s="160" t="s">
        <v>295</v>
      </c>
      <c r="C82" s="255"/>
      <c r="D82" s="257"/>
      <c r="E82" s="161" t="s">
        <v>296</v>
      </c>
      <c r="F82" s="251"/>
      <c r="G82" s="161" t="s">
        <v>0</v>
      </c>
      <c r="H82" s="255"/>
      <c r="I82" s="256"/>
      <c r="J82" s="257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5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2</xdr:col>
                    <xdr:colOff>1638300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2</xdr:col>
                    <xdr:colOff>1638300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2</xdr:col>
                    <xdr:colOff>1638300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2</xdr:col>
                    <xdr:colOff>1638300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2</xdr:col>
                    <xdr:colOff>1638300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2</xdr:col>
                    <xdr:colOff>1638300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2</xdr:col>
                    <xdr:colOff>1638300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2021-05-31T13:59:04Z</cp:lastPrinted>
  <dcterms:created xsi:type="dcterms:W3CDTF">2001-08-01T17:12:05Z</dcterms:created>
  <dcterms:modified xsi:type="dcterms:W3CDTF">2025-03-18T17:12:57Z</dcterms:modified>
</cp:coreProperties>
</file>