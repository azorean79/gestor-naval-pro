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8653BC4-D54A-4330-9CE9-978DBAD4AA8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58" i="10" l="1"/>
  <c r="K26" i="9"/>
  <c r="K34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<sst xmlns="http://schemas.openxmlformats.org/spreadsheetml/2006/main" count="368" uniqueCount="332">
  <si>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</si>
  <si>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</si>
  <si>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</si>
  <si>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</si>
  <si>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</si>
  <si>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</si>
  <si>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</si>
  <si>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</si>
  <si>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</si>
  <si>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</si>
  <si>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</si>
  <si>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</si>
  <si>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</si>
  <si>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</si>
  <si>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</si>
  <si>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</si>
  <si>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</si>
  <si>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</si>
  <si>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</si>
  <si>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</si>
  <si>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</si>
  <si>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</si>
  <si>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</si>
  <si>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</si>
  <si>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</si>
  <si>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</si>
  <si>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</si>
  <si>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</si>
  <si>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</si>
  <si>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</si>
  <si>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</si>
  <si>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</si>
  <si>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</si>
  <si>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</si>
  <si>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</si>
  <si>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</si>
  <si>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</si>
  <si>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</si>
  <si>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</si>
  <si>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</si>
  <si>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</si>
  <si>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</si>
  <si>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</si>
  <si>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</si>
  <si>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</si>
  <si>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</si>
  <si>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</si>
  <si>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</si>
  <si>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</si>
  <si>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</si>
  <si>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</si>
  <si>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</si>
  <si>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</si>
  <si>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</si>
  <si>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</si>
  <si>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</si>
  <si>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</si>
  <si>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</si>
  <si>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</si>
  <si>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</si>
  <si>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</si>
  <si>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</si>
  <si>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</si>
  <si>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</si>
  <si>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</si>
  <si>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</si>
  <si>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</si>
  <si>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</si>
  <si>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</si>
  <si>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</si>
  <si>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</si>
  <si>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</si>
  <si>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</si>
  <si>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</si>
  <si>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</si>
  <si>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</si>
  <si>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</si>
  <si>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</si>
  <si>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</si>
  <si>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</si>
  <si>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</si>
  <si>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</si>
  <si>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</si>
  <si>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</si>
  <si>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</si>
  <si>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</si>
  <si>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</si>
  <si>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</si>
  <si>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</si>
  <si>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</si>
  <si>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</si>
  <si>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</si>
  <si>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</si>
  <si>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</si>
  <si>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</si>
  <si>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</si>
  <si>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</si>
  <si>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</si>
  <si>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</si>
  <si>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</si>
  <si>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</si>
  <si>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</si>
  <si>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</si>
  <si>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</si>
  <si>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</si>
  <si>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</si>
  <si>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</si>
  <si>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</si>
  <si>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</si>
  <si>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</si>
  <si>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</si>
  <si>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</si>
  <si>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</si>
  <si>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</si>
  <si>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</si>
  <si>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</si>
  <si>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</si>
  <si>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</si>
  <si>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</si>
  <si>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</si>
  <si>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</si>
  <si>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</si>
  <si>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</si>
  <si>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</si>
  <si>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</si>
  <si>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</si>
  <si>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</si>
  <si>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</si>
  <si>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</si>
  <si>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</si>
  <si>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</si>
  <si>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</si>
  <si>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</si>
  <si>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</si>
  <si>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</si>
  <si>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</si>
  <si>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</si>
  <si>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</si>
  <si>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</si>
  <si>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</si>
  <si>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</si>
  <si>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</si>
  <si>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</si>
  <si>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</si>
  <si>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</si>
  <si>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</si>
  <si>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</si>
  <si>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</si>
  <si>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</si>
  <si>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</si>
  <si>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</si>
  <si>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</si>
  <si>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</si>
  <si>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</si>
  <si>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</si>
  <si>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</si>
  <si>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</si>
  <si>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</si>
  <si>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</si>
  <si>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</si>
  <si>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</si>
  <si>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</si>
  <si>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</si>
  <si>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</si>
  <si>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</si>
  <si>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</si>
  <si>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</si>
  <si>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</si>
  <si>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</si>
  <si>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</si>
  <si>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</si>
  <si>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</si>
  <si>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</si>
  <si>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</si>
  <si>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</si>
  <si>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</si>
  <si>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</si>
  <si>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</si>
  <si>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</si>
  <si>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</si>
  <si>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</si>
  <si>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</si>
  <si>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</si>
  <si>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</si>
  <si>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</si>
  <si>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</si>
  <si>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</si>
  <si>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</si>
  <si>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</si>
  <si>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</si>
  <si>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</si>
  <si>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</si>
  <si>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</si>
  <si>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</si>
  <si>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</si>
  <si>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</si>
  <si>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</si>
  <si>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</si>
  <si>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</si>
  <si>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</si>
  <si>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</si>
  <si>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</si>
  <si>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</si>
  <si>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</si>
  <si>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</si>
  <si>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</si>
  <si>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</si>
  <si>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</si>
  <si>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</si>
  <si>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</si>
  <si>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</si>
  <si>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</si>
  <si>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</si>
  <si>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</si>
  <si>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</si>
  <si>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</si>
  <si>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</si>
  <si>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</si>
  <si>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</si>
  <si>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</si>
  <si>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</si>
  <si>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</si>
  <si>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</si>
  <si>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</si>
  <si>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</si>
  <si>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</si>
  <si>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</si>
  <si>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</si>
  <si>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</si>
  <si>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</si>
  <si>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</si>
  <si>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</si>
  <si>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</si>
  <si>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</si>
  <si>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</si>
  <si>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</si>
  <si>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</si>
  <si>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</si>
  <si>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</si>
  <si>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</si>
  <si>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</si>
  <si>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</si>
  <si>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</si>
  <si>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</si>
  <si>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</si>
  <si>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</si>
  <si>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</si>
  <si>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</si>
  <si>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</si>
  <si>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</si>
  <si>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</si>
  <si>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</si>
  <si>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</si>
  <si>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</si>
  <si>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</si>
  <si>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</si>
  <si>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</si>
  <si>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</si>
  <si>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</si>
  <si>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</si>
  <si>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</si>
  <si>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</si>
  <si>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</si>
  <si>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</si>
  <si>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</si>
  <si>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</si>
  <si>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</si>
  <si>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</si>
  <si>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</si>
  <si>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</si>
  <si>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</si>
  <si>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</si>
  <si>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</si>
  <si>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</si>
  <si>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</si>
  <si>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</si>
  <si>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</si>
  <si>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</si>
  <si>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</si>
  <si>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</si>
  <si>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</si>
  <si>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</si>
  <si>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</si>
  <si>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</si>
  <si>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</si>
  <si>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</si>
  <si>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</si>
  <si>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</si>
  <si>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</si>
  <si>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</si>
  <si>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</si>
  <si>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</si>
  <si>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</si>
  <si>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</si>
  <si>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</si>
  <si>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</si>
  <si>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</si>
  <si>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</si>
  <si>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</si>
  <si>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NO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</si>
  <si>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</si>
  <si>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</si>
  <si>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</si>
  <si>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</si>
  <si>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</si>
  <si>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A3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</si>
  <si>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</si>
  <si>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</si>
  <si>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</si>
  <si>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1015 Hpa</t>
  </si>
  <si>
    <t>18 Cº</t>
  </si>
  <si>
    <t>RFD SURVIVA MKIV</t>
  </si>
  <si>
    <t>0,270</t>
  </si>
  <si>
    <t>12/2021</t>
  </si>
  <si>
    <t>21W039093</t>
  </si>
  <si>
    <t>18,911</t>
  </si>
  <si>
    <t>02/21</t>
  </si>
  <si>
    <t>13,261</t>
  </si>
  <si>
    <t>02/27</t>
  </si>
  <si>
    <t>03/27</t>
  </si>
  <si>
    <t>SOLAS A</t>
  </si>
  <si>
    <t>LIEFIELD 63883</t>
  </si>
  <si>
    <t>28 MT</t>
  </si>
  <si>
    <t>10/26</t>
  </si>
  <si>
    <t>LAGRIMA DE CRISTO</t>
  </si>
  <si>
    <t>5086010206436</t>
  </si>
  <si>
    <t>09/24</t>
  </si>
  <si>
    <t>02/25</t>
  </si>
  <si>
    <t>40179</t>
  </si>
  <si>
    <t>AZ25-094</t>
  </si>
  <si>
    <t>01/2028</t>
  </si>
  <si>
    <t>MARIA DO CARMO SOUSA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</si>
</sst>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2" fillId="0" borderId="0" xfId="0" applyNumberFormat="1" applyFont="1" applyAlignment="1">
      <alignment horizontal="left" vertical="center"/>
    </xf>
    <xf numFmtId="17" fontId="13" fillId="0" borderId="6" xfId="0" applyNumberFormat="1" applyFont="1" applyBorder="1" applyAlignment="1">
      <alignment horizontal="left" vertical="top"/>
    </xf>
    <xf numFmtId="20" fontId="12" fillId="4" borderId="12" xfId="1" applyNumberFormat="1" applyFont="1" applyFill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17" fontId="17" fillId="8" borderId="5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B39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2" t="s">
        <v>74</v>
      </c>
      <c r="J3" s="212"/>
      <c r="K3" s="208" t="str">
        <f>QUADRO!I5</f>
        <v>AZ25-094</v>
      </c>
      <c r="L3" s="209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3" t="s">
        <v>75</v>
      </c>
      <c r="J4" s="203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0" t="s">
        <v>66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6"/>
    </row>
    <row r="7" spans="1:13" x14ac:dyDescent="0.25">
      <c r="A7" s="203" t="s">
        <v>2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4"/>
    </row>
    <row r="8" spans="1:13" ht="15" x14ac:dyDescent="0.25">
      <c r="A8" s="15"/>
      <c r="B8" s="211" t="s">
        <v>76</v>
      </c>
      <c r="C8" s="211"/>
      <c r="D8" s="211"/>
      <c r="E8" s="211"/>
      <c r="F8" s="211"/>
      <c r="G8" s="211"/>
      <c r="H8" s="211"/>
      <c r="I8" s="211"/>
      <c r="J8" s="211"/>
      <c r="K8" s="211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1" t="str">
        <f>QUADRO!H7</f>
        <v>RFD SURVIVA MKIV</v>
      </c>
      <c r="D12" s="142"/>
      <c r="E12" s="213"/>
      <c r="F12" s="143"/>
      <c r="G12" s="141">
        <f>QUADRO!J7</f>
        <v>12</v>
      </c>
      <c r="H12" s="143"/>
      <c r="I12" s="187" t="str">
        <f>QUADRO!C7</f>
        <v>5086010206436</v>
      </c>
      <c r="J12" s="188"/>
      <c r="K12" s="207" t="str">
        <f>QUADRO!G79</f>
        <v>12/2021</v>
      </c>
      <c r="L12" s="143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9">
        <v>44136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2" t="s">
        <v>300</v>
      </c>
      <c r="D15" s="152"/>
      <c r="E15" s="152"/>
      <c r="F15" s="153"/>
      <c r="G15" s="18">
        <v>28</v>
      </c>
      <c r="H15" s="12" t="s">
        <v>19</v>
      </c>
      <c r="I15" s="18">
        <v>1</v>
      </c>
      <c r="J15" s="12" t="s">
        <v>67</v>
      </c>
      <c r="K15" s="192">
        <v>18</v>
      </c>
      <c r="L15" s="15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8" t="s">
        <v>6</v>
      </c>
      <c r="D17" s="168"/>
      <c r="E17" s="168"/>
      <c r="F17" s="26"/>
      <c r="G17" s="168" t="s">
        <v>21</v>
      </c>
      <c r="H17" s="168"/>
      <c r="I17" s="168" t="s">
        <v>22</v>
      </c>
      <c r="J17" s="168"/>
      <c r="K17" s="168" t="s">
        <v>23</v>
      </c>
      <c r="L17" s="168"/>
      <c r="M17" s="26"/>
    </row>
    <row r="18" spans="1:13" s="46" customFormat="1" ht="9.9" customHeight="1" x14ac:dyDescent="0.25">
      <c r="A18" s="8" t="s">
        <v>24</v>
      </c>
      <c r="B18" s="1"/>
      <c r="C18" s="203" t="s">
        <v>25</v>
      </c>
      <c r="D18" s="203"/>
      <c r="E18" s="203"/>
      <c r="F18" s="1"/>
      <c r="G18" s="203" t="s">
        <v>26</v>
      </c>
      <c r="H18" s="203"/>
      <c r="I18" s="203" t="s">
        <v>27</v>
      </c>
      <c r="J18" s="203"/>
      <c r="K18" s="203" t="s">
        <v>28</v>
      </c>
      <c r="L18" s="203"/>
      <c r="M18" s="1"/>
    </row>
    <row r="19" spans="1:13" ht="15" x14ac:dyDescent="0.25">
      <c r="A19" s="3"/>
      <c r="B19" s="3"/>
      <c r="C19" s="173" t="str">
        <f>QUADRO!I56</f>
        <v>21W039093</v>
      </c>
      <c r="D19" s="174"/>
      <c r="E19" s="174"/>
      <c r="F19" s="175"/>
      <c r="G19" s="204">
        <f>QUADRO!I62</f>
        <v>5.38</v>
      </c>
      <c r="H19" s="204"/>
      <c r="I19" s="204" t="str">
        <f>QUADRO!I64</f>
        <v>0,270</v>
      </c>
      <c r="J19" s="204"/>
      <c r="K19" s="205" t="str">
        <f>QUADRO!I66</f>
        <v>02/21</v>
      </c>
      <c r="L19" s="206"/>
      <c r="M19" s="3"/>
    </row>
    <row r="20" spans="1:13" ht="15" x14ac:dyDescent="0.25">
      <c r="A20" s="3"/>
      <c r="B20" s="3"/>
      <c r="C20" s="176"/>
      <c r="D20" s="174"/>
      <c r="E20" s="174"/>
      <c r="F20" s="175"/>
      <c r="G20" s="204"/>
      <c r="H20" s="204"/>
      <c r="I20" s="204"/>
      <c r="J20" s="204"/>
      <c r="K20" s="205"/>
      <c r="L20" s="206"/>
      <c r="M20" s="3"/>
    </row>
    <row r="21" spans="1:13" ht="15" x14ac:dyDescent="0.25">
      <c r="A21" s="3"/>
      <c r="B21" s="3"/>
      <c r="C21" s="177"/>
      <c r="D21" s="178"/>
      <c r="E21" s="178"/>
      <c r="F21" s="179"/>
      <c r="G21" s="202"/>
      <c r="H21" s="202"/>
      <c r="I21" s="202"/>
      <c r="J21" s="202"/>
      <c r="K21" s="202"/>
      <c r="L21" s="202"/>
      <c r="M21" s="3"/>
    </row>
    <row r="22" spans="1:13" ht="15" x14ac:dyDescent="0.25">
      <c r="A22" s="3"/>
      <c r="B22" s="3"/>
      <c r="C22" s="177"/>
      <c r="D22" s="178"/>
      <c r="E22" s="178"/>
      <c r="F22" s="179"/>
      <c r="G22" s="202"/>
      <c r="H22" s="202"/>
      <c r="I22" s="202"/>
      <c r="J22" s="202"/>
      <c r="K22" s="202"/>
      <c r="L22" s="20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8" t="s">
        <v>30</v>
      </c>
      <c r="D24" s="168"/>
      <c r="E24" s="168"/>
      <c r="F24" s="26"/>
      <c r="G24" s="168" t="s">
        <v>31</v>
      </c>
      <c r="H24" s="168"/>
      <c r="I24" s="168" t="s">
        <v>32</v>
      </c>
      <c r="J24" s="168"/>
      <c r="K24" s="168" t="s">
        <v>33</v>
      </c>
      <c r="L24" s="168"/>
      <c r="M24" s="25"/>
    </row>
    <row r="25" spans="1:13" s="46" customFormat="1" ht="9.75" customHeight="1" x14ac:dyDescent="0.25">
      <c r="A25" s="8" t="s">
        <v>79</v>
      </c>
      <c r="B25" s="8"/>
      <c r="C25" s="166"/>
      <c r="D25" s="166"/>
      <c r="E25" s="166"/>
      <c r="F25" s="138">
        <v>44136</v>
      </c>
      <c r="G25" s="203" t="s">
        <v>34</v>
      </c>
      <c r="H25" s="203"/>
      <c r="I25" s="203" t="s">
        <v>25</v>
      </c>
      <c r="J25" s="203"/>
      <c r="K25" s="203" t="s">
        <v>35</v>
      </c>
      <c r="L25" s="203"/>
      <c r="M25" s="8"/>
    </row>
    <row r="26" spans="1:13" s="24" customFormat="1" ht="12.9" customHeight="1" x14ac:dyDescent="0.25">
      <c r="A26" s="25"/>
      <c r="B26" s="25"/>
      <c r="C26" s="183" t="s">
        <v>36</v>
      </c>
      <c r="D26" s="184"/>
      <c r="E26" s="184"/>
      <c r="F26" s="36"/>
      <c r="G26" s="196" t="str">
        <f>QUADRO!F47</f>
        <v>SOLAS A</v>
      </c>
      <c r="H26" s="172"/>
      <c r="I26" s="185" t="str">
        <f>QUADRO!C7</f>
        <v>5086010206436</v>
      </c>
      <c r="J26" s="186"/>
      <c r="K26" s="198">
        <f>QUADRO!F81+365</f>
        <v>46141</v>
      </c>
      <c r="L26" s="199"/>
      <c r="M26" s="25"/>
    </row>
    <row r="27" spans="1:13" s="46" customFormat="1" ht="9.9" customHeight="1" x14ac:dyDescent="0.25">
      <c r="A27" s="8"/>
      <c r="B27" s="8"/>
      <c r="C27" s="189" t="s">
        <v>37</v>
      </c>
      <c r="D27" s="190"/>
      <c r="E27" s="190"/>
      <c r="F27" s="51"/>
      <c r="G27" s="141"/>
      <c r="H27" s="143"/>
      <c r="I27" s="187"/>
      <c r="J27" s="188"/>
      <c r="K27" s="200"/>
      <c r="L27" s="201"/>
      <c r="M27" s="8"/>
    </row>
    <row r="28" spans="1:13" s="24" customFormat="1" ht="12.9" customHeight="1" x14ac:dyDescent="0.25">
      <c r="A28" s="25"/>
      <c r="B28" s="25"/>
      <c r="C28" s="183" t="s">
        <v>38</v>
      </c>
      <c r="D28" s="184"/>
      <c r="E28" s="184"/>
      <c r="F28" s="36"/>
      <c r="G28" s="191"/>
      <c r="H28" s="169"/>
      <c r="I28" s="191"/>
      <c r="J28" s="169"/>
      <c r="K28" s="191"/>
      <c r="L28" s="169"/>
      <c r="M28" s="25"/>
    </row>
    <row r="29" spans="1:13" s="46" customFormat="1" ht="9.9" customHeight="1" x14ac:dyDescent="0.25">
      <c r="A29" s="8"/>
      <c r="B29" s="8"/>
      <c r="C29" s="197">
        <v>44136</v>
      </c>
      <c r="D29" s="190"/>
      <c r="E29" s="190"/>
      <c r="F29" s="51"/>
      <c r="G29" s="193"/>
      <c r="H29" s="194"/>
      <c r="I29" s="193"/>
      <c r="J29" s="194"/>
      <c r="K29" s="193"/>
      <c r="L29" s="194"/>
      <c r="M29" s="8"/>
    </row>
    <row r="30" spans="1:13" s="24" customFormat="1" ht="12.9" customHeight="1" x14ac:dyDescent="0.25">
      <c r="A30" s="25"/>
      <c r="B30" s="25"/>
      <c r="C30" s="183" t="s">
        <v>39</v>
      </c>
      <c r="D30" s="184"/>
      <c r="E30" s="184"/>
      <c r="F30" s="36"/>
      <c r="G30" s="191"/>
      <c r="H30" s="169"/>
      <c r="I30" s="191"/>
      <c r="J30" s="169"/>
      <c r="K30" s="191"/>
      <c r="L30" s="169"/>
      <c r="M30" s="25"/>
    </row>
    <row r="31" spans="1:13" s="46" customFormat="1" ht="9.9" customHeight="1" x14ac:dyDescent="0.25">
      <c r="A31" s="8"/>
      <c r="B31" s="8"/>
      <c r="C31" s="189" t="s">
        <v>40</v>
      </c>
      <c r="D31" s="190"/>
      <c r="E31" s="190"/>
      <c r="F31" s="51"/>
      <c r="G31" s="193"/>
      <c r="H31" s="194"/>
      <c r="I31" s="193"/>
      <c r="J31" s="194"/>
      <c r="K31" s="193"/>
      <c r="L31" s="194"/>
      <c r="M31" s="8"/>
    </row>
    <row r="32" spans="1:13" s="24" customFormat="1" ht="12.9" customHeight="1" x14ac:dyDescent="0.25">
      <c r="A32" s="25"/>
      <c r="B32" s="25"/>
      <c r="C32" s="183" t="s">
        <v>41</v>
      </c>
      <c r="D32" s="184"/>
      <c r="E32" s="184"/>
      <c r="F32" s="36"/>
      <c r="G32" s="191"/>
      <c r="H32" s="151"/>
      <c r="I32" s="191"/>
      <c r="J32" s="169"/>
      <c r="K32" s="191" t="s">
        <v>1</v>
      </c>
      <c r="L32" s="169"/>
      <c r="M32" s="25"/>
    </row>
    <row r="33" spans="1:13" s="46" customFormat="1" ht="9.9" customHeight="1" x14ac:dyDescent="0.25">
      <c r="A33" s="8"/>
      <c r="B33" s="8"/>
      <c r="C33" s="189" t="s">
        <v>42</v>
      </c>
      <c r="D33" s="190"/>
      <c r="E33" s="190"/>
      <c r="F33" s="51"/>
      <c r="G33" s="192"/>
      <c r="H33" s="153"/>
      <c r="I33" s="193"/>
      <c r="J33" s="194"/>
      <c r="K33" s="193"/>
      <c r="L33" s="194"/>
      <c r="M33" s="8"/>
    </row>
    <row r="34" spans="1:13" s="24" customFormat="1" ht="12.75" customHeight="1" x14ac:dyDescent="0.25">
      <c r="A34" s="25"/>
      <c r="B34" s="25"/>
      <c r="C34" s="183" t="s">
        <v>43</v>
      </c>
      <c r="D34" s="184"/>
      <c r="E34" s="184"/>
      <c r="F34" s="36"/>
      <c r="G34" s="191" t="s">
        <v>301</v>
      </c>
      <c r="H34" s="169"/>
      <c r="I34" s="191"/>
      <c r="J34" s="169"/>
      <c r="K34" s="185" t="str">
        <f>QUADRO!J13</f>
        <v>01/2028</v>
      </c>
      <c r="L34" s="186"/>
      <c r="M34" s="25"/>
    </row>
    <row r="35" spans="1:13" s="46" customFormat="1" ht="9.9" customHeight="1" x14ac:dyDescent="0.25">
      <c r="A35" s="8"/>
      <c r="B35" s="8"/>
      <c r="C35" s="189" t="s">
        <v>44</v>
      </c>
      <c r="D35" s="190"/>
      <c r="E35" s="190"/>
      <c r="F35" s="51"/>
      <c r="G35" s="193"/>
      <c r="H35" s="194"/>
      <c r="I35" s="193"/>
      <c r="J35" s="194"/>
      <c r="K35" s="187"/>
      <c r="L35" s="188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45</v>
      </c>
      <c r="B38" s="25"/>
      <c r="C38" s="168" t="s">
        <v>46</v>
      </c>
      <c r="D38" s="168"/>
      <c r="E38" s="168"/>
      <c r="F38" s="26"/>
      <c r="G38" s="168" t="s">
        <v>47</v>
      </c>
      <c r="H38" s="168"/>
      <c r="I38" s="168" t="s">
        <v>48</v>
      </c>
      <c r="J38" s="168"/>
      <c r="K38" s="168" t="s">
        <v>49</v>
      </c>
      <c r="L38" s="168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150" t="s">
        <v>299</v>
      </c>
      <c r="F40" s="151"/>
      <c r="G40" s="35" t="s">
        <v>51</v>
      </c>
      <c r="H40" s="169" t="s">
        <v>299</v>
      </c>
      <c r="I40" s="35" t="s">
        <v>72</v>
      </c>
      <c r="J40" s="169" t="s">
        <v>299</v>
      </c>
      <c r="K40" s="35" t="s">
        <v>51</v>
      </c>
      <c r="L40" s="169" t="s">
        <v>297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52"/>
      <c r="F41" s="153"/>
      <c r="G41" s="49" t="s">
        <v>52</v>
      </c>
      <c r="H41" s="153"/>
      <c r="I41" s="49" t="s">
        <v>52</v>
      </c>
      <c r="J41" s="153"/>
      <c r="K41" s="49" t="s">
        <v>52</v>
      </c>
      <c r="L41" s="153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71"/>
      <c r="F42" s="172"/>
      <c r="G42" s="35" t="s">
        <v>53</v>
      </c>
      <c r="H42" s="170"/>
      <c r="I42" s="35" t="s">
        <v>53</v>
      </c>
      <c r="J42" s="170"/>
      <c r="K42" s="35" t="s">
        <v>53</v>
      </c>
      <c r="L42" s="17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42"/>
      <c r="F43" s="143"/>
      <c r="G43" s="49" t="s">
        <v>54</v>
      </c>
      <c r="H43" s="143"/>
      <c r="I43" s="49" t="s">
        <v>54</v>
      </c>
      <c r="J43" s="143"/>
      <c r="K43" s="49" t="s">
        <v>54</v>
      </c>
      <c r="L43" s="14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145">
        <f>QUADRO!F81</f>
        <v>45776</v>
      </c>
      <c r="D47" s="154"/>
      <c r="E47" s="154"/>
      <c r="F47" s="155"/>
      <c r="G47" s="141" t="str">
        <f>QUADRO!C81</f>
        <v xml:space="preserve">OREY TÉCNICA </v>
      </c>
      <c r="H47" s="142"/>
      <c r="I47" s="142"/>
      <c r="J47" s="143"/>
      <c r="K47" s="145">
        <f>C47+365</f>
        <v>46141</v>
      </c>
      <c r="L47" s="14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0" t="s">
        <v>77</v>
      </c>
      <c r="D49" s="181"/>
      <c r="E49" s="181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2" t="s">
        <v>78</v>
      </c>
      <c r="D50" s="165"/>
      <c r="E50" s="165"/>
      <c r="F50" s="156" t="s">
        <v>308</v>
      </c>
      <c r="G50" s="157"/>
      <c r="H50" s="157"/>
      <c r="I50" s="157"/>
      <c r="J50" s="157"/>
      <c r="K50" s="157"/>
      <c r="L50" s="158"/>
      <c r="M50" s="4"/>
    </row>
    <row r="51" spans="1:13" ht="12.75" customHeight="1" x14ac:dyDescent="0.25">
      <c r="A51" s="4"/>
      <c r="B51" s="4"/>
      <c r="C51" s="146"/>
      <c r="D51" s="147"/>
      <c r="E51" s="147"/>
      <c r="F51" s="156"/>
      <c r="G51" s="157"/>
      <c r="H51" s="157"/>
      <c r="I51" s="157"/>
      <c r="J51" s="157"/>
      <c r="K51" s="157"/>
      <c r="L51" s="158"/>
      <c r="M51" s="4"/>
    </row>
    <row r="52" spans="1:13" ht="15" customHeight="1" x14ac:dyDescent="0.25">
      <c r="A52" s="2"/>
      <c r="B52" s="2"/>
      <c r="C52" s="148"/>
      <c r="D52" s="149"/>
      <c r="E52" s="149"/>
      <c r="F52" s="159"/>
      <c r="G52" s="160"/>
      <c r="H52" s="160"/>
      <c r="I52" s="160"/>
      <c r="J52" s="160"/>
      <c r="K52" s="160"/>
      <c r="L52" s="161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2" t="s">
        <v>302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2"/>
    </row>
    <row r="55" spans="1:13" ht="15" x14ac:dyDescent="0.25">
      <c r="A55" s="2"/>
      <c r="B55" s="203" t="s">
        <v>303</v>
      </c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5" t="s">
        <v>83</v>
      </c>
      <c r="B57" s="165"/>
      <c r="C57" s="22"/>
      <c r="D57" s="215"/>
      <c r="E57" s="215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6" t="s">
        <v>63</v>
      </c>
      <c r="B58" s="166"/>
      <c r="C58" s="22"/>
      <c r="D58" s="215"/>
      <c r="E58" s="215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5" t="s">
        <v>64</v>
      </c>
      <c r="B59" s="165"/>
      <c r="C59" s="41" t="s">
        <v>1</v>
      </c>
      <c r="D59" s="216"/>
      <c r="E59" s="216"/>
      <c r="F59" s="45"/>
      <c r="G59" s="28"/>
      <c r="H59" s="27"/>
      <c r="I59" s="164" t="s">
        <v>73</v>
      </c>
      <c r="J59" s="164"/>
      <c r="K59" s="164"/>
      <c r="L59" s="164"/>
      <c r="M59" s="23"/>
    </row>
    <row r="60" spans="1:13" ht="9.75" customHeight="1" x14ac:dyDescent="0.25">
      <c r="A60" s="167"/>
      <c r="B60" s="167"/>
      <c r="C60" s="41"/>
      <c r="D60" s="216"/>
      <c r="E60" s="216"/>
      <c r="F60" s="45"/>
      <c r="G60" s="11"/>
      <c r="H60" s="3"/>
      <c r="I60" s="144" t="s">
        <v>81</v>
      </c>
      <c r="J60" s="144"/>
      <c r="K60" s="144"/>
      <c r="L60" s="144"/>
      <c r="M60" s="2"/>
    </row>
    <row r="61" spans="1:13" s="24" customFormat="1" ht="14.1" customHeight="1" x14ac:dyDescent="0.25">
      <c r="A61" s="40" t="s">
        <v>84</v>
      </c>
      <c r="B61" s="40"/>
      <c r="C61" s="22"/>
      <c r="D61" s="215"/>
      <c r="E61" s="215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6" t="s">
        <v>65</v>
      </c>
      <c r="B62" s="166"/>
      <c r="C62" s="22"/>
      <c r="D62" s="215"/>
      <c r="E62" s="215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5" t="s">
        <v>71</v>
      </c>
      <c r="B63" s="165"/>
      <c r="C63" s="22"/>
      <c r="D63" s="217" t="str">
        <f>QUADRO!E7</f>
        <v>LAGRIMA DE CRISTO</v>
      </c>
      <c r="E63" s="217"/>
      <c r="F63" s="217"/>
      <c r="G63" s="217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6" t="s">
        <v>70</v>
      </c>
      <c r="B64" s="166"/>
      <c r="C64" s="22"/>
      <c r="D64" s="217"/>
      <c r="E64" s="217"/>
      <c r="F64" s="217"/>
      <c r="G64" s="217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5" t="s">
        <v>68</v>
      </c>
      <c r="B65" s="165"/>
      <c r="C65" s="22"/>
      <c r="D65" s="215" t="s">
        <v>331</v>
      </c>
      <c r="E65" s="215"/>
      <c r="F65" s="215"/>
      <c r="G65" s="215"/>
      <c r="H65" s="215"/>
      <c r="I65" s="215"/>
      <c r="J65" s="163"/>
      <c r="K65" s="163"/>
      <c r="L65" s="23"/>
      <c r="M65" s="23"/>
    </row>
    <row r="66" spans="1:13" s="46" customFormat="1" ht="9.9" customHeight="1" x14ac:dyDescent="0.25">
      <c r="A66" s="166" t="s">
        <v>69</v>
      </c>
      <c r="B66" s="166"/>
      <c r="C66" s="22"/>
      <c r="D66" s="215"/>
      <c r="E66" s="215"/>
      <c r="F66" s="215"/>
      <c r="G66" s="215"/>
      <c r="H66" s="215"/>
      <c r="I66" s="215"/>
      <c r="J66" s="203" t="s">
        <v>0</v>
      </c>
      <c r="K66" s="203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4" t="s">
        <v>307</v>
      </c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</row>
    <row r="70" spans="1:13" x14ac:dyDescent="0.25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</row>
    <row r="71" spans="1:13" x14ac:dyDescent="0.25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</row>
    <row r="72" spans="1:13" x14ac:dyDescent="0.25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</row>
    <row r="73" spans="1:13" x14ac:dyDescent="0.25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</row>
    <row r="74" spans="1:13" x14ac:dyDescent="0.25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</row>
    <row r="75" spans="1:13" x14ac:dyDescent="0.25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</row>
    <row r="76" spans="1:13" x14ac:dyDescent="0.25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</row>
    <row r="77" spans="1:13" x14ac:dyDescent="0.25">
      <c r="G77" s="211" t="s">
        <v>80</v>
      </c>
      <c r="H77" s="211"/>
    </row>
    <row r="81" spans="6:6" x14ac:dyDescent="0.25">
      <c r="F81" s="137">
        <v>43799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9" t="s">
        <v>85</v>
      </c>
      <c r="E3" s="299"/>
      <c r="F3" s="299"/>
      <c r="G3" s="299"/>
      <c r="H3" s="300" t="s">
        <v>86</v>
      </c>
      <c r="I3" s="302"/>
      <c r="J3" s="303"/>
    </row>
    <row r="4" spans="2:15" s="58" customFormat="1" ht="23.4" customHeight="1" x14ac:dyDescent="0.4">
      <c r="B4" s="56" t="s">
        <v>87</v>
      </c>
      <c r="C4" s="57"/>
      <c r="D4" s="304" t="s">
        <v>88</v>
      </c>
      <c r="E4" s="304"/>
      <c r="F4" s="304"/>
      <c r="G4" s="304"/>
      <c r="H4" s="301"/>
      <c r="I4" s="303"/>
      <c r="J4" s="303"/>
    </row>
    <row r="5" spans="2:15" s="58" customFormat="1" ht="23.4" customHeight="1" x14ac:dyDescent="0.4">
      <c r="B5" s="56" t="s">
        <v>89</v>
      </c>
      <c r="C5" s="56"/>
      <c r="H5" s="305" t="s">
        <v>90</v>
      </c>
      <c r="I5" s="307" t="s">
        <v>329</v>
      </c>
      <c r="J5" s="308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6"/>
      <c r="I6" s="309"/>
      <c r="J6" s="309"/>
    </row>
    <row r="7" spans="2:15" ht="23.4" customHeight="1" x14ac:dyDescent="0.3">
      <c r="B7" s="59" t="s">
        <v>91</v>
      </c>
      <c r="C7" s="283" t="s">
        <v>325</v>
      </c>
      <c r="D7" s="59" t="s">
        <v>92</v>
      </c>
      <c r="E7" s="285" t="s">
        <v>324</v>
      </c>
      <c r="F7" s="286"/>
      <c r="G7" s="60" t="s">
        <v>93</v>
      </c>
      <c r="H7" s="310" t="s">
        <v>311</v>
      </c>
      <c r="I7" s="294"/>
      <c r="J7" s="297">
        <v>12</v>
      </c>
    </row>
    <row r="8" spans="2:15" ht="23.4" customHeight="1" x14ac:dyDescent="0.3">
      <c r="B8" s="61" t="s">
        <v>94</v>
      </c>
      <c r="C8" s="284"/>
      <c r="D8" s="61" t="s">
        <v>95</v>
      </c>
      <c r="E8" s="287"/>
      <c r="F8" s="288"/>
      <c r="G8" s="62" t="s">
        <v>96</v>
      </c>
      <c r="H8" s="295"/>
      <c r="I8" s="296"/>
      <c r="J8" s="298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2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2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82"/>
      <c r="J13" s="83" t="s">
        <v>330</v>
      </c>
    </row>
    <row r="14" spans="2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78"/>
      <c r="J14" s="79"/>
      <c r="O14" s="74" t="s">
        <v>1</v>
      </c>
    </row>
    <row r="15" spans="2:15" ht="23.4" customHeight="1" x14ac:dyDescent="0.4"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82"/>
      <c r="J15" s="83" t="s">
        <v>326</v>
      </c>
    </row>
    <row r="16" spans="2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72"/>
      <c r="J16" s="7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82"/>
      <c r="J17" s="83" t="s">
        <v>327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72"/>
      <c r="J18" s="8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82"/>
      <c r="J19" s="83" t="s">
        <v>327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72"/>
      <c r="J20" s="7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82"/>
      <c r="J21" s="83" t="s">
        <v>327</v>
      </c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 t="s">
        <v>323</v>
      </c>
      <c r="G23" s="81" t="s">
        <v>137</v>
      </c>
      <c r="H23" s="81"/>
      <c r="I23" s="86"/>
      <c r="J23" s="87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323</v>
      </c>
      <c r="G25" s="61" t="s">
        <v>143</v>
      </c>
      <c r="H25" s="81"/>
      <c r="I25" s="82"/>
      <c r="J25" s="83"/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6"/>
      <c r="J27" s="88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323</v>
      </c>
      <c r="D29" s="81" t="s">
        <v>154</v>
      </c>
      <c r="E29" s="81"/>
      <c r="F29" s="80"/>
      <c r="G29" s="61" t="s">
        <v>155</v>
      </c>
      <c r="H29" s="81"/>
      <c r="I29" s="86"/>
      <c r="J29" s="88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6"/>
      <c r="J31" s="88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6"/>
      <c r="J33" s="88"/>
    </row>
    <row r="34" spans="2:10" s="74" customFormat="1" ht="23.4" customHeight="1" x14ac:dyDescent="0.4">
      <c r="B34" s="84" t="s">
        <v>168</v>
      </c>
      <c r="C34" s="78"/>
      <c r="D34" s="89" t="s">
        <v>169</v>
      </c>
      <c r="E34" s="90"/>
      <c r="F34" s="91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2" t="s">
        <v>305</v>
      </c>
      <c r="D35" s="75" t="s">
        <v>172</v>
      </c>
      <c r="E35" s="93"/>
      <c r="F35" s="94"/>
      <c r="G35" s="61" t="s">
        <v>173</v>
      </c>
      <c r="H35" s="81"/>
      <c r="I35" s="86"/>
      <c r="J35" s="88"/>
    </row>
    <row r="36" spans="2:10" s="74" customFormat="1" ht="23.4" customHeight="1" x14ac:dyDescent="0.4">
      <c r="B36" s="59" t="s">
        <v>174</v>
      </c>
      <c r="C36" s="71"/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/>
      <c r="G37" s="81" t="s">
        <v>179</v>
      </c>
      <c r="H37" s="81"/>
      <c r="I37" s="86"/>
      <c r="J37" s="88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6"/>
      <c r="J39" s="88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5" t="s">
        <v>322</v>
      </c>
      <c r="G41" s="81" t="s">
        <v>190</v>
      </c>
      <c r="H41" s="81"/>
      <c r="I41" s="86"/>
      <c r="J41" s="88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6"/>
      <c r="J43" s="88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6"/>
      <c r="F44" s="97"/>
      <c r="G44" s="68" t="s">
        <v>199</v>
      </c>
      <c r="H44" s="96"/>
      <c r="I44" s="98" t="s">
        <v>200</v>
      </c>
      <c r="J44" s="97"/>
    </row>
    <row r="45" spans="2:10" ht="23.4" customHeight="1" x14ac:dyDescent="0.4">
      <c r="B45" s="61" t="s">
        <v>201</v>
      </c>
      <c r="C45" s="82"/>
      <c r="D45" s="99" t="s">
        <v>202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3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4" t="s">
        <v>320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7"/>
      <c r="I48" s="108"/>
      <c r="J48" s="79" t="s">
        <v>1</v>
      </c>
    </row>
    <row r="49" spans="1:13" ht="23.4" customHeight="1" x14ac:dyDescent="0.4">
      <c r="B49" s="61" t="s">
        <v>211</v>
      </c>
      <c r="C49" s="83" t="s">
        <v>321</v>
      </c>
      <c r="D49" s="61" t="s">
        <v>212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7"/>
      <c r="I50" s="110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7"/>
      <c r="I52" s="110"/>
      <c r="J52" s="73" t="s">
        <v>1</v>
      </c>
    </row>
    <row r="53" spans="1:13" ht="23.4" customHeight="1" x14ac:dyDescent="0.4">
      <c r="B53" s="61" t="s">
        <v>221</v>
      </c>
      <c r="C53" s="86"/>
      <c r="D53" s="61" t="s">
        <v>222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6"/>
      <c r="I54" s="98"/>
      <c r="J54" s="97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9" t="s">
        <v>228</v>
      </c>
      <c r="H55" s="100"/>
      <c r="I55" s="112"/>
      <c r="J55" s="101"/>
    </row>
    <row r="56" spans="1:13" s="74" customFormat="1" ht="23.4" customHeight="1" x14ac:dyDescent="0.4">
      <c r="B56" s="68" t="s">
        <v>229</v>
      </c>
      <c r="C56" s="113"/>
      <c r="D56" s="59" t="s">
        <v>230</v>
      </c>
      <c r="E56" s="70"/>
      <c r="F56" s="71"/>
      <c r="G56" s="289" t="s">
        <v>231</v>
      </c>
      <c r="H56" s="290"/>
      <c r="I56" s="291" t="s">
        <v>314</v>
      </c>
      <c r="J56" s="292"/>
      <c r="M56" s="136"/>
    </row>
    <row r="57" spans="1:13" ht="23.4" customHeight="1" x14ac:dyDescent="0.4">
      <c r="B57" s="99" t="s">
        <v>232</v>
      </c>
      <c r="C57" s="114"/>
      <c r="D57" s="61" t="s">
        <v>233</v>
      </c>
      <c r="E57" s="81"/>
      <c r="F57" s="80"/>
      <c r="G57" s="282" t="s">
        <v>234</v>
      </c>
      <c r="H57" s="261"/>
      <c r="I57" s="257"/>
      <c r="J57" s="293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81" t="s">
        <v>237</v>
      </c>
      <c r="H58" s="255"/>
      <c r="I58" s="256" t="s">
        <v>315</v>
      </c>
      <c r="J58" s="258"/>
      <c r="M58" s="136">
        <f>I58-I62-I64</f>
        <v>13.261000000000003</v>
      </c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 t="s">
        <v>328</v>
      </c>
      <c r="G59" s="282" t="s">
        <v>240</v>
      </c>
      <c r="H59" s="261"/>
      <c r="I59" s="257"/>
      <c r="J59" s="259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81" t="s">
        <v>243</v>
      </c>
      <c r="H60" s="255"/>
      <c r="I60" s="256" t="s">
        <v>317</v>
      </c>
      <c r="J60" s="258"/>
      <c r="M60" s="136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82" t="s">
        <v>246</v>
      </c>
      <c r="H61" s="261"/>
      <c r="I61" s="257"/>
      <c r="J61" s="259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4" t="s">
        <v>249</v>
      </c>
      <c r="H62" s="255"/>
      <c r="I62" s="277">
        <v>5.38</v>
      </c>
      <c r="J62" s="279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 t="s">
        <v>318</v>
      </c>
      <c r="G63" s="260" t="s">
        <v>252</v>
      </c>
      <c r="H63" s="261"/>
      <c r="I63" s="278"/>
      <c r="J63" s="280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81" t="s">
        <v>255</v>
      </c>
      <c r="H64" s="255"/>
      <c r="I64" s="256" t="s">
        <v>312</v>
      </c>
      <c r="J64" s="258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82" t="s">
        <v>258</v>
      </c>
      <c r="H65" s="261"/>
      <c r="I65" s="257"/>
      <c r="J65" s="259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4" t="s">
        <v>261</v>
      </c>
      <c r="H66" s="255"/>
      <c r="I66" s="256" t="s">
        <v>316</v>
      </c>
      <c r="J66" s="258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 t="s">
        <v>319</v>
      </c>
      <c r="G67" s="260" t="s">
        <v>264</v>
      </c>
      <c r="H67" s="261"/>
      <c r="I67" s="257"/>
      <c r="J67" s="259"/>
    </row>
    <row r="68" spans="1:11" ht="5.25" customHeight="1" x14ac:dyDescent="0.3">
      <c r="B68" s="262"/>
      <c r="C68" s="263"/>
      <c r="D68" s="263"/>
      <c r="E68" s="263"/>
      <c r="F68" s="263"/>
      <c r="G68" s="263"/>
      <c r="H68" s="263"/>
      <c r="I68" s="263"/>
      <c r="J68" s="264"/>
    </row>
    <row r="69" spans="1:11" ht="21" x14ac:dyDescent="0.3">
      <c r="B69" s="265" t="s">
        <v>265</v>
      </c>
      <c r="C69" s="117" t="s">
        <v>266</v>
      </c>
      <c r="D69" s="269" t="s">
        <v>306</v>
      </c>
      <c r="E69" s="270"/>
      <c r="F69" s="118" t="s">
        <v>267</v>
      </c>
      <c r="G69" s="119" t="s">
        <v>268</v>
      </c>
      <c r="H69" s="273" t="s">
        <v>310</v>
      </c>
      <c r="I69" s="119" t="s">
        <v>269</v>
      </c>
      <c r="J69" s="275" t="s">
        <v>310</v>
      </c>
    </row>
    <row r="70" spans="1:11" ht="21.6" customHeight="1" x14ac:dyDescent="0.3">
      <c r="B70" s="266"/>
      <c r="C70" s="120" t="s">
        <v>270</v>
      </c>
      <c r="D70" s="271"/>
      <c r="E70" s="272"/>
      <c r="F70" s="121" t="s">
        <v>271</v>
      </c>
      <c r="G70" s="122" t="s">
        <v>272</v>
      </c>
      <c r="H70" s="274"/>
      <c r="I70" s="122" t="s">
        <v>273</v>
      </c>
      <c r="J70" s="276"/>
    </row>
    <row r="71" spans="1:11" ht="21" x14ac:dyDescent="0.3">
      <c r="B71" s="267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73" t="s">
        <v>309</v>
      </c>
      <c r="I71" s="119" t="s">
        <v>269</v>
      </c>
      <c r="J71" s="273" t="s">
        <v>309</v>
      </c>
    </row>
    <row r="72" spans="1:11" ht="42" customHeight="1" x14ac:dyDescent="0.3">
      <c r="B72" s="268"/>
      <c r="C72" s="140">
        <v>0.375</v>
      </c>
      <c r="D72" s="140">
        <v>0.41666666666666669</v>
      </c>
      <c r="E72" s="125" t="s">
        <v>278</v>
      </c>
      <c r="F72" s="121" t="s">
        <v>279</v>
      </c>
      <c r="G72" s="126" t="s">
        <v>272</v>
      </c>
      <c r="H72" s="274"/>
      <c r="I72" s="126" t="s">
        <v>273</v>
      </c>
      <c r="J72" s="274"/>
    </row>
    <row r="73" spans="1:11" ht="21.6" customHeight="1" x14ac:dyDescent="0.3">
      <c r="B73" s="127" t="s">
        <v>280</v>
      </c>
      <c r="C73" s="238">
        <v>209</v>
      </c>
      <c r="D73" s="238">
        <v>208</v>
      </c>
      <c r="E73" s="240">
        <f>1-(D73/C73)</f>
        <v>4.784688995215336E-3</v>
      </c>
      <c r="F73" s="242" t="s">
        <v>281</v>
      </c>
      <c r="G73" s="245"/>
      <c r="H73" s="246"/>
      <c r="I73" s="246"/>
      <c r="J73" s="247"/>
    </row>
    <row r="74" spans="1:11" ht="21.6" customHeight="1" x14ac:dyDescent="0.3">
      <c r="B74" s="128" t="s">
        <v>282</v>
      </c>
      <c r="C74" s="239"/>
      <c r="D74" s="239"/>
      <c r="E74" s="241"/>
      <c r="F74" s="243"/>
      <c r="G74" s="248"/>
      <c r="H74" s="249"/>
      <c r="I74" s="249"/>
      <c r="J74" s="250"/>
    </row>
    <row r="75" spans="1:11" ht="21.6" customHeight="1" x14ac:dyDescent="0.3">
      <c r="B75" s="127" t="s">
        <v>283</v>
      </c>
      <c r="C75" s="238">
        <v>206</v>
      </c>
      <c r="D75" s="238">
        <v>205</v>
      </c>
      <c r="E75" s="240">
        <f>1-(D75/C75)</f>
        <v>4.8543689320388328E-3</v>
      </c>
      <c r="F75" s="243"/>
      <c r="G75" s="248"/>
      <c r="H75" s="249"/>
      <c r="I75" s="249"/>
      <c r="J75" s="250"/>
    </row>
    <row r="76" spans="1:11" ht="21.6" customHeight="1" x14ac:dyDescent="0.3">
      <c r="B76" s="128" t="s">
        <v>284</v>
      </c>
      <c r="C76" s="239"/>
      <c r="D76" s="239"/>
      <c r="E76" s="241"/>
      <c r="F76" s="243"/>
      <c r="G76" s="248"/>
      <c r="H76" s="249"/>
      <c r="I76" s="249"/>
      <c r="J76" s="250"/>
    </row>
    <row r="77" spans="1:11" ht="21" customHeight="1" x14ac:dyDescent="0.3">
      <c r="B77" s="127" t="s">
        <v>285</v>
      </c>
      <c r="C77" s="226"/>
      <c r="D77" s="226"/>
      <c r="E77" s="228" t="e">
        <f>1-(D77/C77)</f>
        <v>#DIV/0!</v>
      </c>
      <c r="F77" s="243"/>
      <c r="G77" s="248"/>
      <c r="H77" s="249"/>
      <c r="I77" s="249"/>
      <c r="J77" s="250"/>
    </row>
    <row r="78" spans="1:11" ht="21" customHeight="1" x14ac:dyDescent="0.3">
      <c r="B78" s="128" t="s">
        <v>286</v>
      </c>
      <c r="C78" s="227"/>
      <c r="D78" s="227"/>
      <c r="E78" s="229"/>
      <c r="F78" s="244"/>
      <c r="G78" s="251"/>
      <c r="H78" s="252"/>
      <c r="I78" s="252"/>
      <c r="J78" s="253"/>
    </row>
    <row r="79" spans="1:11" s="74" customFormat="1" ht="21.6" customHeight="1" x14ac:dyDescent="0.3">
      <c r="A79" s="55"/>
      <c r="B79" s="127" t="s">
        <v>287</v>
      </c>
      <c r="C79" s="226"/>
      <c r="D79" s="226"/>
      <c r="E79" s="228" t="e">
        <f>1-(D79/C79)</f>
        <v>#DIV/0!</v>
      </c>
      <c r="F79" s="129" t="s">
        <v>288</v>
      </c>
      <c r="G79" s="230" t="s">
        <v>313</v>
      </c>
      <c r="H79" s="232"/>
      <c r="I79" s="233"/>
      <c r="J79" s="234"/>
      <c r="K79" s="55"/>
    </row>
    <row r="80" spans="1:11" ht="21" customHeight="1" x14ac:dyDescent="0.3">
      <c r="B80" s="128" t="s">
        <v>289</v>
      </c>
      <c r="C80" s="227"/>
      <c r="D80" s="227"/>
      <c r="E80" s="229"/>
      <c r="F80" s="130" t="s">
        <v>290</v>
      </c>
      <c r="G80" s="231"/>
      <c r="H80" s="235"/>
      <c r="I80" s="236"/>
      <c r="J80" s="237"/>
    </row>
    <row r="81" spans="1:11" ht="30" customHeight="1" x14ac:dyDescent="0.3">
      <c r="A81" s="74"/>
      <c r="B81" s="131" t="s">
        <v>291</v>
      </c>
      <c r="C81" s="220" t="s">
        <v>304</v>
      </c>
      <c r="D81" s="222"/>
      <c r="E81" s="132" t="s">
        <v>292</v>
      </c>
      <c r="F81" s="218">
        <v>45776</v>
      </c>
      <c r="G81" s="132" t="s">
        <v>293</v>
      </c>
      <c r="H81" s="220"/>
      <c r="I81" s="221"/>
      <c r="J81" s="222"/>
      <c r="K81" s="74"/>
    </row>
    <row r="82" spans="1:11" ht="28.2" customHeight="1" x14ac:dyDescent="0.3">
      <c r="B82" s="133" t="s">
        <v>294</v>
      </c>
      <c r="C82" s="223"/>
      <c r="D82" s="225"/>
      <c r="E82" s="134" t="s">
        <v>295</v>
      </c>
      <c r="F82" s="219"/>
      <c r="G82" s="134" t="s">
        <v>0</v>
      </c>
      <c r="H82" s="223"/>
      <c r="I82" s="224"/>
      <c r="J82" s="225"/>
    </row>
    <row r="83" spans="1:11" x14ac:dyDescent="0.3">
      <c r="F83" s="135"/>
    </row>
    <row r="84" spans="1:11" x14ac:dyDescent="0.3">
      <c r="F84" s="135" t="s">
        <v>296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2025-04-30T10:19:26Z</cp:lastPrinted>
  <dcterms:created xsi:type="dcterms:W3CDTF">2001-08-01T17:12:05Z</dcterms:created>
  <dcterms:modified xsi:type="dcterms:W3CDTF">2025-04-30T10:51:59Z</dcterms:modified>
</cp:coreProperties>
</file>