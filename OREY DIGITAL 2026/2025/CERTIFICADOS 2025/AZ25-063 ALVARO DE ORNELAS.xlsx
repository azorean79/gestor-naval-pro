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B60A841-DB8D-4898-B2C3-72EA18B718A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<sst xmlns="http://schemas.openxmlformats.org/spreadsheetml/2006/main" count="130" uniqueCount="111">
  <si>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</si>
  <si>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</si>
  <si>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</si>
  <si>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</si>
  <si>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</si>
  <si>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</si>
  <si>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</si>
  <si>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</si>
  <si>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</si>
  <si>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</si>
  <si>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</si>
  <si>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</si>
  <si>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</si>
  <si>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</si>
  <si>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</si>
  <si>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</si>
  <si>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</si>
  <si>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</si>
  <si>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</si>
  <si>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</si>
  <si>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</si>
  <si>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</si>
  <si>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</si>
  <si>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</si>
  <si>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</si>
  <si>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</si>
  <si>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</si>
  <si>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</si>
  <si>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</si>
  <si>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</si>
  <si>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</si>
  <si>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</si>
  <si>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</si>
  <si>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</si>
  <si>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</si>
  <si>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</si>
  <si>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</si>
  <si>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</si>
  <si>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</si>
  <si>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</si>
  <si>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</si>
  <si>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</si>
  <si>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</si>
  <si>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</si>
  <si>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</si>
  <si>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</si>
  <si>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</si>
  <si>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</si>
  <si>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</si>
  <si>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</si>
  <si>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</si>
  <si>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</si>
  <si>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</si>
  <si>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</si>
  <si>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</si>
  <si>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</si>
  <si>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</si>
  <si>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</si>
  <si>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</si>
  <si>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</si>
  <si>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</si>
  <si>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</si>
  <si>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</si>
  <si>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</si>
  <si>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</si>
  <si>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</si>
  <si>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</si>
  <si>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</si>
  <si>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</si>
  <si>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</si>
  <si>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</si>
  <si>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</si>
  <si>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</si>
  <si>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</si>
  <si>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</si>
  <si>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</si>
  <si>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</si>
  <si>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</si>
  <si>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</si>
  <si>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</si>
  <si>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</si>
  <si>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</si>
  <si>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</si>
  <si>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</si>
  <si>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</si>
  <si>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</si>
  <si>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</si>
  <si>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</si>
  <si>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</si>
  <si>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</si>
  <si>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</si>
  <si>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</si>
  <si>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</si>
  <si>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N.R.</t>
  </si>
  <si>
    <t>50937 Orey Technica, Azores</t>
  </si>
  <si>
    <t>RFD SURVIVA MKIV</t>
  </si>
  <si>
    <t>SOLAS B</t>
  </si>
  <si>
    <t>8</t>
  </si>
  <si>
    <t>PORTOS DOS AÇORES, SA</t>
  </si>
  <si>
    <t>5085810101195</t>
  </si>
  <si>
    <t>07/2011</t>
  </si>
  <si>
    <t>MF59077</t>
  </si>
  <si>
    <t>11/10</t>
  </si>
  <si>
    <t>KR I</t>
  </si>
  <si>
    <t>15407</t>
  </si>
  <si>
    <t>ALVARO DE ORNELAS</t>
  </si>
  <si>
    <t>YES</t>
  </si>
  <si>
    <t>09/2026</t>
  </si>
  <si>
    <t>AZ25-063</t>
  </si>
  <si>
    <t>02/2026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</si>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</sst>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0161F-EBD0-4926-9656-02B47B60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108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97</v>
      </c>
      <c r="H12" s="80"/>
      <c r="I12" s="106" t="s">
        <v>99</v>
      </c>
      <c r="J12" s="80"/>
      <c r="K12" s="106" t="s">
        <v>100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93</v>
      </c>
      <c r="D15" s="88"/>
      <c r="E15" s="88"/>
      <c r="F15" s="78"/>
      <c r="G15" s="26">
        <v>28</v>
      </c>
      <c r="H15" s="20" t="s">
        <v>19</v>
      </c>
      <c r="I15" s="26">
        <v>1</v>
      </c>
      <c r="J15" s="20" t="s">
        <v>68</v>
      </c>
      <c r="K15" s="87">
        <v>18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101</v>
      </c>
      <c r="D19" s="121"/>
      <c r="E19" s="121"/>
      <c r="F19" s="122"/>
      <c r="G19" s="123">
        <v>3.38</v>
      </c>
      <c r="H19" s="123"/>
      <c r="I19" s="123">
        <v>0.14000000000000001</v>
      </c>
      <c r="J19" s="123"/>
      <c r="K19" s="119" t="s">
        <v>102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81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96</v>
      </c>
      <c r="H26" s="77"/>
      <c r="I26" s="107" t="str">
        <f>I12</f>
        <v>5085810101195</v>
      </c>
      <c r="J26" s="108"/>
      <c r="K26" s="105" t="s">
        <v>109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 t="s">
        <v>103</v>
      </c>
      <c r="H32" s="77"/>
      <c r="I32" s="105" t="s">
        <v>104</v>
      </c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 t="s">
        <v>92</v>
      </c>
      <c r="H34" s="79"/>
      <c r="I34" s="105"/>
      <c r="J34" s="79"/>
      <c r="K34" s="105" t="s">
        <v>107</v>
      </c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106</v>
      </c>
      <c r="F40" s="77"/>
      <c r="G40" s="52" t="s">
        <v>52</v>
      </c>
      <c r="H40" s="77" t="s">
        <v>89</v>
      </c>
      <c r="I40" s="52" t="s">
        <v>73</v>
      </c>
      <c r="J40" s="77" t="s">
        <v>106</v>
      </c>
      <c r="K40" s="52" t="s">
        <v>52</v>
      </c>
      <c r="L40" s="77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 t="s">
        <v>110</v>
      </c>
      <c r="F42" s="79"/>
      <c r="G42" s="52" t="s">
        <v>54</v>
      </c>
      <c r="H42" s="79"/>
      <c r="I42" s="52" t="s">
        <v>54</v>
      </c>
      <c r="J42" s="79" t="s">
        <v>110</v>
      </c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45693</v>
      </c>
      <c r="D47" s="96"/>
      <c r="E47" s="96"/>
      <c r="F47" s="97"/>
      <c r="G47" s="87" t="s">
        <v>94</v>
      </c>
      <c r="H47" s="88"/>
      <c r="I47" s="88"/>
      <c r="J47" s="78"/>
      <c r="K47" s="90">
        <f>C47+365</f>
        <v>46058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90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80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82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88</v>
      </c>
      <c r="B57" s="86"/>
      <c r="C57" s="30"/>
      <c r="D57" s="133" t="s">
        <v>91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84</v>
      </c>
      <c r="J60" s="89"/>
      <c r="K60" s="89"/>
      <c r="L60" s="89"/>
      <c r="M60" s="2"/>
    </row>
    <row r="61" spans="1:13" s="33" customFormat="1" ht="14.1" customHeight="1" x14ac:dyDescent="0.25">
      <c r="A61" s="57" t="s">
        <v>87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105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98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85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83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2025-03-26T12:37:29Z</cp:lastPrinted>
  <dcterms:created xsi:type="dcterms:W3CDTF">2001-08-01T17:12:05Z</dcterms:created>
  <dcterms:modified xsi:type="dcterms:W3CDTF">2025-03-26T12:37:49Z</dcterms:modified>
</cp:coreProperties>
</file>