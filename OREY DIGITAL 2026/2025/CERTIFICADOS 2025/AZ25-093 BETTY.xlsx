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76CD239-95B8-4F19-BE98-585D31FE0FC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<sst xmlns="http://schemas.openxmlformats.org/spreadsheetml/2006/main" count="365" uniqueCount="330">
  <si>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</si>
  <si>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</si>
  <si>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</si>
  <si>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</si>
  <si>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</si>
  <si>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</si>
  <si>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</si>
  <si>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</si>
  <si>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</si>
  <si>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</si>
  <si>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</si>
  <si>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</si>
  <si>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</si>
  <si>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</si>
  <si>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</si>
  <si>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</si>
  <si>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</si>
  <si>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</si>
  <si>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</si>
  <si>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</si>
  <si>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</si>
  <si>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</si>
  <si>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</si>
  <si>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</si>
  <si>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</si>
  <si>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</si>
  <si>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</si>
  <si>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</si>
  <si>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</si>
  <si>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</si>
  <si>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</si>
  <si>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</si>
  <si>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</si>
  <si>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</si>
  <si>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</si>
  <si>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</si>
  <si>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</si>
  <si>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</si>
  <si>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</si>
  <si>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</si>
  <si>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</si>
  <si>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</si>
  <si>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</si>
  <si>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</si>
  <si>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</si>
  <si>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</si>
  <si>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</si>
  <si>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</si>
  <si>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</si>
  <si>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</si>
  <si>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</si>
  <si>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</si>
  <si>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</si>
  <si>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</si>
  <si>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</si>
  <si>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</si>
  <si>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</si>
  <si>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</si>
  <si>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</si>
  <si>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</si>
  <si>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</si>
  <si>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</si>
  <si>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</si>
  <si>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</si>
  <si>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</si>
  <si>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</si>
  <si>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</si>
  <si>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</si>
  <si>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</si>
  <si>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</si>
  <si>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</si>
  <si>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</si>
  <si>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</si>
  <si>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</si>
  <si>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</si>
  <si>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</si>
  <si>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</si>
  <si>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</si>
  <si>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</si>
  <si>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</si>
  <si>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</si>
  <si>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</si>
  <si>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</si>
  <si>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</si>
  <si>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</si>
  <si>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</si>
  <si>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</si>
  <si>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</si>
  <si>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</si>
  <si>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</si>
  <si>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</si>
  <si>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</si>
  <si>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</si>
  <si>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</si>
  <si>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</si>
  <si>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</si>
  <si>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</si>
  <si>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</si>
  <si>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</si>
  <si>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</si>
  <si>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</si>
  <si>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</si>
  <si>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</si>
  <si>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</si>
  <si>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</si>
  <si>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</si>
  <si>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</si>
  <si>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</si>
  <si>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</si>
  <si>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</si>
  <si>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</si>
  <si>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</si>
  <si>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</si>
  <si>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</si>
  <si>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</si>
  <si>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</si>
  <si>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</si>
  <si>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</si>
  <si>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</si>
  <si>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</si>
  <si>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</si>
  <si>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</si>
  <si>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</si>
  <si>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</si>
  <si>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</si>
  <si>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</si>
  <si>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</si>
  <si>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</si>
  <si>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</si>
  <si>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</si>
  <si>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</si>
  <si>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</si>
  <si>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</si>
  <si>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</si>
  <si>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</si>
  <si>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</si>
  <si>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</si>
  <si>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</si>
  <si>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</si>
  <si>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</si>
  <si>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</si>
  <si>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</si>
  <si>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</si>
  <si>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</si>
  <si>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</si>
  <si>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</si>
  <si>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</si>
  <si>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</si>
  <si>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</si>
  <si>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</si>
  <si>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</si>
  <si>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</si>
  <si>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</si>
  <si>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</si>
  <si>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</si>
  <si>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</si>
  <si>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</si>
  <si>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</si>
  <si>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</si>
  <si>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</si>
  <si>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</si>
  <si>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</si>
  <si>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</si>
  <si>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</si>
  <si>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</si>
  <si>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</si>
  <si>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</si>
  <si>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</si>
  <si>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</si>
  <si>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</si>
  <si>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</si>
  <si>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</si>
  <si>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</si>
  <si>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</si>
  <si>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</si>
  <si>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</si>
  <si>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</si>
  <si>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</si>
  <si>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</si>
  <si>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</si>
  <si>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</si>
  <si>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</si>
  <si>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</si>
  <si>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</si>
  <si>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</si>
  <si>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</si>
  <si>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</si>
  <si>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</si>
  <si>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</si>
  <si>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</si>
  <si>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</si>
  <si>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</si>
  <si>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</si>
  <si>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</si>
  <si>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</si>
  <si>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</si>
  <si>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</si>
  <si>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</si>
  <si>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</si>
  <si>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</si>
  <si>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</si>
  <si>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</si>
  <si>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</si>
  <si>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</si>
  <si>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</si>
  <si>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</si>
  <si>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</si>
  <si>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</si>
  <si>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</si>
  <si>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</si>
  <si>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</si>
  <si>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</si>
  <si>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</si>
  <si>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</si>
  <si>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</si>
  <si>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</si>
  <si>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</si>
  <si>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</si>
  <si>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</si>
  <si>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</si>
  <si>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</si>
  <si>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</si>
  <si>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</si>
  <si>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</si>
  <si>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</si>
  <si>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</si>
  <si>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</si>
  <si>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</si>
  <si>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</si>
  <si>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</si>
  <si>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</si>
  <si>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</si>
  <si>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</si>
  <si>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</si>
  <si>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</si>
  <si>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</si>
  <si>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</si>
  <si>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</si>
  <si>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</si>
  <si>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</si>
  <si>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</si>
  <si>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</si>
  <si>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</si>
  <si>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</si>
  <si>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</si>
  <si>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</si>
  <si>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</si>
  <si>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</si>
  <si>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</si>
  <si>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</si>
  <si>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</si>
  <si>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</si>
  <si>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</si>
  <si>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</si>
  <si>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</si>
  <si>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</si>
  <si>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</si>
  <si>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</si>
  <si>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</si>
  <si>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</si>
  <si>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</si>
  <si>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</si>
  <si>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</si>
  <si>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</si>
  <si>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</si>
  <si>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</si>
  <si>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</si>
  <si>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</si>
  <si>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</si>
  <si>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</si>
  <si>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</si>
  <si>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</si>
  <si>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</si>
  <si>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</si>
  <si>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</si>
  <si>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</si>
  <si>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</si>
  <si>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</si>
  <si>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</si>
  <si>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</si>
  <si>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</si>
  <si>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</si>
  <si>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</si>
  <si>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</si>
  <si>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</si>
  <si>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</si>
  <si>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</si>
  <si>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</si>
  <si>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</si>
  <si>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</si>
  <si>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</si>
  <si>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</si>
  <si>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</si>
  <si>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</si>
  <si>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</si>
  <si>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</si>
  <si>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</si>
  <si>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</si>
  <si>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</si>
  <si>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</si>
  <si>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</si>
  <si>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</si>
  <si>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</si>
  <si>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</si>
  <si>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</si>
  <si>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</si>
  <si>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</si>
  <si>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</si>
  <si>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</si>
  <si>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1025 Hpa</t>
  </si>
  <si>
    <t>SEA-SAFE</t>
  </si>
  <si>
    <t>&lt; 24H</t>
  </si>
  <si>
    <t>17 Cº</t>
  </si>
  <si>
    <t>0,240</t>
  </si>
  <si>
    <t>DK99S</t>
  </si>
  <si>
    <t>PORTUGAL</t>
  </si>
  <si>
    <t>BETTY</t>
  </si>
  <si>
    <t>12/16</t>
  </si>
  <si>
    <t>02/2019</t>
  </si>
  <si>
    <t>PURE ADVETURE AZORES</t>
  </si>
  <si>
    <t>AZ25-092</t>
  </si>
  <si>
    <t>04/28</t>
  </si>
  <si>
    <t>06/28</t>
  </si>
  <si>
    <t>PL-12-0269</t>
  </si>
  <si>
    <t>(60)</t>
  </si>
  <si>
    <t>(3)</t>
  </si>
  <si>
    <t>B53147</t>
  </si>
  <si>
    <t>12,850</t>
  </si>
  <si>
    <t>8,770</t>
  </si>
  <si>
    <t xml:space="preserve">inH2O [x ] inHg [   ] mbar [ 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</si>
</sst>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</xdr:colOff>
      <xdr:row>57</xdr:row>
      <xdr:rowOff>60960</xdr:rowOff>
    </xdr:from>
    <xdr:to>
      <xdr:col>23</xdr:col>
      <xdr:colOff>256824</xdr:colOff>
      <xdr:row>68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F5B7D6-D6AA-4353-8C70-52CAA775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92583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R56" sqref="R5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AZ25-092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12</v>
      </c>
      <c r="H12" s="167"/>
      <c r="I12" s="211" t="str">
        <f>QUADRO!C7</f>
        <v>PL-12-0269</v>
      </c>
      <c r="J12" s="212"/>
      <c r="K12" s="230" t="str">
        <f>QUADRO!G79</f>
        <v>02/2019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308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B53147</v>
      </c>
      <c r="D19" s="198"/>
      <c r="E19" s="198"/>
      <c r="F19" s="199"/>
      <c r="G19" s="227">
        <f>QUADRO!I62</f>
        <v>3.84</v>
      </c>
      <c r="H19" s="227"/>
      <c r="I19" s="227" t="str">
        <f>QUADRO!I64</f>
        <v>0,240</v>
      </c>
      <c r="J19" s="227"/>
      <c r="K19" s="228" t="str">
        <f>QUADRO!I66</f>
        <v>12/16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PL-12-0269</v>
      </c>
      <c r="J26" s="210"/>
      <c r="K26" s="221">
        <f>QUADRO!F81+366+365+365</f>
        <v>46852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45756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46852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305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315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BETTY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319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304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3" zoomScale="48" zoomScaleNormal="48" workbookViewId="0">
      <selection activeCell="D77" sqref="D77:D7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320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323</v>
      </c>
      <c r="D7" s="80" t="s">
        <v>93</v>
      </c>
      <c r="E7" s="309" t="s">
        <v>316</v>
      </c>
      <c r="F7" s="310"/>
      <c r="G7" s="81" t="s">
        <v>94</v>
      </c>
      <c r="H7" s="309" t="s">
        <v>310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324</v>
      </c>
      <c r="J15" s="106" t="s">
        <v>321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307</v>
      </c>
      <c r="J17" s="106" t="s">
        <v>322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325</v>
      </c>
      <c r="J19" s="106" t="s">
        <v>322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314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326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327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328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12.85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3.84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313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317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329</v>
      </c>
      <c r="E69" s="294"/>
      <c r="F69" s="144" t="s">
        <v>268</v>
      </c>
      <c r="G69" s="145" t="s">
        <v>269</v>
      </c>
      <c r="H69" s="297" t="s">
        <v>312</v>
      </c>
      <c r="I69" s="145" t="s">
        <v>270</v>
      </c>
      <c r="J69" s="299" t="s">
        <v>312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309</v>
      </c>
      <c r="I71" s="145" t="s">
        <v>270</v>
      </c>
      <c r="J71" s="297" t="s">
        <v>309</v>
      </c>
    </row>
    <row r="72" spans="1:11" ht="42" customHeight="1" x14ac:dyDescent="0.3">
      <c r="B72" s="292"/>
      <c r="C72" s="151">
        <v>0.41666666666666669</v>
      </c>
      <c r="D72" s="151">
        <v>0.45833333333333331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67.099999999999994</v>
      </c>
      <c r="D73" s="262">
        <v>66.400000000000006</v>
      </c>
      <c r="E73" s="264">
        <f>1-(D73/C73)</f>
        <v>1.0432190760059412E-2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68.099999999999994</v>
      </c>
      <c r="D75" s="262">
        <v>66.900000000000006</v>
      </c>
      <c r="E75" s="264">
        <f>1-(D75/C75)</f>
        <v>1.7621145374449143E-2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318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45756</v>
      </c>
      <c r="G81" s="159" t="s">
        <v>294</v>
      </c>
      <c r="H81" s="244" t="s">
        <v>306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2025-05-19T17:03:49Z</cp:lastPrinted>
  <dcterms:created xsi:type="dcterms:W3CDTF">2001-08-01T17:12:05Z</dcterms:created>
  <dcterms:modified xsi:type="dcterms:W3CDTF">2025-05-19T17:04:06Z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