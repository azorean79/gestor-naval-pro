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8BC23C3C-8259-4CB8-82EB-BD938E3633C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K47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<sst xmlns="http://schemas.openxmlformats.org/spreadsheetml/2006/main" count="357" uniqueCount="324">
  <si>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</si>
  <si>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</si>
  <si>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</si>
  <si>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</si>
  <si>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</si>
  <si>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</si>
  <si>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</si>
  <si>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</si>
  <si>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</si>
  <si>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</si>
  <si>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</si>
  <si>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</si>
  <si>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</si>
  <si>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</si>
  <si>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</si>
  <si>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</si>
  <si>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</si>
  <si>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</si>
  <si>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</si>
  <si>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</si>
  <si>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</si>
  <si>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</si>
  <si>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</si>
  <si>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</si>
  <si>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</si>
  <si>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</si>
  <si>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</si>
  <si>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</si>
  <si>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</si>
  <si>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</si>
  <si>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</si>
  <si>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</si>
  <si>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</si>
  <si>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</si>
  <si>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</si>
  <si>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</si>
  <si>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</si>
  <si>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</si>
  <si>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</si>
  <si>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</si>
  <si>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</si>
  <si>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</si>
  <si>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</si>
  <si>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</si>
  <si>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</si>
  <si>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</si>
  <si>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</si>
  <si>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</si>
  <si>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</si>
  <si>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</si>
  <si>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</si>
  <si>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</si>
  <si>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</si>
  <si>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</si>
  <si>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</si>
  <si>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</si>
  <si>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</si>
  <si>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</si>
  <si>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</si>
  <si>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</si>
  <si>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</si>
  <si>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</si>
  <si>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</si>
  <si>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</si>
  <si>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</si>
  <si>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</si>
  <si>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</si>
  <si>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</si>
  <si>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</si>
  <si>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</si>
  <si>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</si>
  <si>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</si>
  <si>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</si>
  <si>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</si>
  <si>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</si>
  <si>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</si>
  <si>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</si>
  <si>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</si>
  <si>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</si>
  <si>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</si>
  <si>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</si>
  <si>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</si>
  <si>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</si>
  <si>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</si>
  <si>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</si>
  <si>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</si>
  <si>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</si>
  <si>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</si>
  <si>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</si>
  <si>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</si>
  <si>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</si>
  <si>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</si>
  <si>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</si>
  <si>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</si>
  <si>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</si>
  <si>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</si>
  <si>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</si>
  <si>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</si>
  <si>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</si>
  <si>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</si>
  <si>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</si>
  <si>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</si>
  <si>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</si>
  <si>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</si>
  <si>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</si>
  <si>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</si>
  <si>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</si>
  <si>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</si>
  <si>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</si>
  <si>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</si>
  <si>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</si>
  <si>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</si>
  <si>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</si>
  <si>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</si>
  <si>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</si>
  <si>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</si>
  <si>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</si>
  <si>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</si>
  <si>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</si>
  <si>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</si>
  <si>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</si>
  <si>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</si>
  <si>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</si>
  <si>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</si>
  <si>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</si>
  <si>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</si>
  <si>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</si>
  <si>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</si>
  <si>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</si>
  <si>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</si>
  <si>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</si>
  <si>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</si>
  <si>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</si>
  <si>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</si>
  <si>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</si>
  <si>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</si>
  <si>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</si>
  <si>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</si>
  <si>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</si>
  <si>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</si>
  <si>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</si>
  <si>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</si>
  <si>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</si>
  <si>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</si>
  <si>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</si>
  <si>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</si>
  <si>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</si>
  <si>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</si>
  <si>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</si>
  <si>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</si>
  <si>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</si>
  <si>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</si>
  <si>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</si>
  <si>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</si>
  <si>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</si>
  <si>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</si>
  <si>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</si>
  <si>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</si>
  <si>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</si>
  <si>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</si>
  <si>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</si>
  <si>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</si>
  <si>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</si>
  <si>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</si>
  <si>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</si>
  <si>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</si>
  <si>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</si>
  <si>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</si>
  <si>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</si>
  <si>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</si>
  <si>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</si>
  <si>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</si>
  <si>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</si>
  <si>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</si>
  <si>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</si>
  <si>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</si>
  <si>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</si>
  <si>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</si>
  <si>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</si>
  <si>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</si>
  <si>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</si>
  <si>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</si>
  <si>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</si>
  <si>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</si>
  <si>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</si>
  <si>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</si>
  <si>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</si>
  <si>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</si>
  <si>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</si>
  <si>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</si>
  <si>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</si>
  <si>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</si>
  <si>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</si>
  <si>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</si>
  <si>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</si>
  <si>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</si>
  <si>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</si>
  <si>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</si>
  <si>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</si>
  <si>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</si>
  <si>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</si>
  <si>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</si>
  <si>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</si>
  <si>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</si>
  <si>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</si>
  <si>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</si>
  <si>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</si>
  <si>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</si>
  <si>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</si>
  <si>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</si>
  <si>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</si>
  <si>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</si>
  <si>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</si>
  <si>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</si>
  <si>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</si>
  <si>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</si>
  <si>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</si>
  <si>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</si>
  <si>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</si>
  <si>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</si>
  <si>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</si>
  <si>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</si>
  <si>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</si>
  <si>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</si>
  <si>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</si>
  <si>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</si>
  <si>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</si>
  <si>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</si>
  <si>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</si>
  <si>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</si>
  <si>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</si>
  <si>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</si>
  <si>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</si>
  <si>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</si>
  <si>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</si>
  <si>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</si>
  <si>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</si>
  <si>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</si>
  <si>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</si>
  <si>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</si>
  <si>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</si>
  <si>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</si>
  <si>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</si>
  <si>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</si>
  <si>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</si>
  <si>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</si>
  <si>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</si>
  <si>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</si>
  <si>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</si>
  <si>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</si>
  <si>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</si>
  <si>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</si>
  <si>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</si>
  <si>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</si>
  <si>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</si>
  <si>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</si>
  <si>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</si>
  <si>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</si>
  <si>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</si>
  <si>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</si>
  <si>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</si>
  <si>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</si>
  <si>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</si>
  <si>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</si>
  <si>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</si>
  <si>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</si>
  <si>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</si>
  <si>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</si>
  <si>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</si>
  <si>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</si>
  <si>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</si>
  <si>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</si>
  <si>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</si>
  <si>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</si>
  <si>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</si>
  <si>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</si>
  <si>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</si>
  <si>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</si>
  <si>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</si>
  <si>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</si>
  <si>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</si>
  <si>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</si>
  <si>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</si>
  <si>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</si>
  <si>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</si>
  <si>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</si>
  <si>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</si>
  <si>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</si>
  <si>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</si>
  <si>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</si>
  <si>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</si>
  <si>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</si>
  <si>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</si>
  <si>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</si>
  <si>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</si>
  <si>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</si>
  <si>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</si>
  <si>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</si>
  <si>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</si>
  <si>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</si>
  <si>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</si>
  <si>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</si>
  <si>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</si>
  <si>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</si>
  <si>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</si>
  <si>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</si>
  <si>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MIN</t>
  </si>
  <si>
    <t>PVC</t>
  </si>
  <si>
    <t>ALMAR</t>
  </si>
  <si>
    <t>9 MT</t>
  </si>
  <si>
    <t>1030 Hpa</t>
  </si>
  <si>
    <t>17 Cº</t>
  </si>
  <si>
    <t>JOANA</t>
  </si>
  <si>
    <t>ESPIRITO AZUL</t>
  </si>
  <si>
    <t>STD</t>
  </si>
  <si>
    <t>ZAP0910005</t>
  </si>
  <si>
    <t>H53324</t>
  </si>
  <si>
    <t>0,200</t>
  </si>
  <si>
    <t>11/07</t>
  </si>
  <si>
    <t>1020 Hpa</t>
  </si>
  <si>
    <t xml:space="preserve">inH2O [X ] inHg [   ] mbar [  ] </t>
  </si>
  <si>
    <t>02/2009</t>
  </si>
  <si>
    <t>PORTUGAL</t>
  </si>
  <si>
    <t>AZ25-086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</si>
</sst>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7" workbookViewId="0">
      <selection activeCell="C48" sqref="C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AZ25-086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ALMAR</v>
      </c>
      <c r="D12" s="166"/>
      <c r="E12" s="236"/>
      <c r="F12" s="167"/>
      <c r="G12" s="165">
        <f>QUADRO!J7</f>
        <v>10</v>
      </c>
      <c r="H12" s="167"/>
      <c r="I12" s="211" t="str">
        <f>QUADRO!C7</f>
        <v>ZAP0910005</v>
      </c>
      <c r="J12" s="212"/>
      <c r="K12" s="230" t="str">
        <f>QUADRO!G79</f>
        <v>02/2009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307</v>
      </c>
      <c r="D15" s="176"/>
      <c r="E15" s="176"/>
      <c r="F15" s="177"/>
      <c r="G15" s="26">
        <v>9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H53324</v>
      </c>
      <c r="D19" s="198"/>
      <c r="E19" s="198"/>
      <c r="F19" s="199"/>
      <c r="G19" s="227">
        <f>QUADRO!I62</f>
        <v>3.4</v>
      </c>
      <c r="H19" s="227"/>
      <c r="I19" s="227" t="str">
        <f>QUADRO!I64</f>
        <v>0,200</v>
      </c>
      <c r="J19" s="227"/>
      <c r="K19" s="228" t="str">
        <f>QUADRO!I66</f>
        <v>11/07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">
        <v>314</v>
      </c>
      <c r="H26" s="196"/>
      <c r="I26" s="209" t="str">
        <f>QUADRO!C7</f>
        <v>ZAP0910005</v>
      </c>
      <c r="J26" s="210"/>
      <c r="K26" s="221">
        <f>QUADRO!F81+366+365+365</f>
        <v>46858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v>45762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46858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322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">
        <v>312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313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303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323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315</v>
      </c>
      <c r="D7" s="80" t="s">
        <v>93</v>
      </c>
      <c r="E7" s="309" t="s">
        <v>312</v>
      </c>
      <c r="F7" s="310"/>
      <c r="G7" s="81" t="s">
        <v>94</v>
      </c>
      <c r="H7" s="309" t="s">
        <v>308</v>
      </c>
      <c r="I7" s="318"/>
      <c r="J7" s="321">
        <v>10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305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309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306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316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/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/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3.6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3.4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317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318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320</v>
      </c>
      <c r="E69" s="294"/>
      <c r="F69" s="144" t="s">
        <v>268</v>
      </c>
      <c r="G69" s="145" t="s">
        <v>269</v>
      </c>
      <c r="H69" s="297" t="s">
        <v>311</v>
      </c>
      <c r="I69" s="145" t="s">
        <v>270</v>
      </c>
      <c r="J69" s="299" t="s">
        <v>311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319</v>
      </c>
      <c r="I71" s="145" t="s">
        <v>270</v>
      </c>
      <c r="J71" s="297" t="s">
        <v>310</v>
      </c>
    </row>
    <row r="72" spans="1:11" ht="42" customHeight="1" x14ac:dyDescent="0.3">
      <c r="B72" s="292"/>
      <c r="C72" s="151">
        <v>0.39583333333333331</v>
      </c>
      <c r="D72" s="151">
        <v>0.4375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54.1</v>
      </c>
      <c r="D73" s="262">
        <v>53.8</v>
      </c>
      <c r="E73" s="264">
        <f>1-(D73/C73)</f>
        <v>5.5452865064695711E-3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57.2</v>
      </c>
      <c r="D75" s="262">
        <v>56</v>
      </c>
      <c r="E75" s="264">
        <f>1-(D75/C75)</f>
        <v>2.0979020979021046E-2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321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302</v>
      </c>
      <c r="D81" s="246"/>
      <c r="E81" s="159" t="s">
        <v>293</v>
      </c>
      <c r="F81" s="242">
        <v>45762</v>
      </c>
      <c r="G81" s="159" t="s">
        <v>294</v>
      </c>
      <c r="H81" s="244" t="s">
        <v>304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2022-05-31T15:17:20Z</cp:lastPrinted>
  <dcterms:created xsi:type="dcterms:W3CDTF">2001-08-01T17:12:05Z</dcterms:created>
  <dcterms:modified xsi:type="dcterms:W3CDTF">2025-04-16T15:24:13Z</dcterms:modified>
</cp:coreProperties>
</file>