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B60B16E2-215C-45A7-9CB0-740D47D5B805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<sst xmlns="http://schemas.openxmlformats.org/spreadsheetml/2006/main" count="125" uniqueCount="105">
  <si>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</si>
  <si>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</si>
  <si>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</si>
  <si>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</si>
  <si>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</si>
  <si>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</si>
  <si>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</si>
  <si>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</si>
  <si>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</si>
  <si>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</si>
  <si>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</si>
  <si>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</si>
  <si>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</si>
  <si>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</si>
  <si>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</si>
  <si>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</si>
  <si>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</si>
  <si>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</si>
  <si>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</si>
  <si>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</si>
  <si>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</si>
  <si>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</si>
  <si>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</si>
  <si>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</si>
  <si>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</si>
  <si>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</si>
  <si>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</si>
  <si>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</si>
  <si>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</si>
  <si>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</si>
  <si>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</si>
  <si>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</si>
  <si>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</si>
  <si>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</si>
  <si>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</si>
  <si>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</si>
  <si>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</si>
  <si>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</si>
  <si>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</si>
  <si>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</si>
  <si>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</si>
  <si>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</si>
  <si>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</si>
  <si>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</si>
  <si>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</si>
  <si>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</si>
  <si>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</si>
  <si>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</si>
  <si>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</si>
  <si>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</si>
  <si>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</si>
  <si>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</si>
  <si>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</si>
  <si>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</si>
  <si>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</si>
  <si>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</si>
  <si>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</si>
  <si>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</si>
  <si>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</si>
  <si>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</si>
  <si>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</si>
  <si>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</si>
  <si>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</si>
  <si>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</si>
  <si>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</si>
  <si>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</si>
  <si>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</si>
  <si>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</si>
  <si>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</si>
  <si>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</si>
  <si>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</si>
  <si>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</si>
  <si>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</si>
  <si>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</si>
  <si>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</si>
  <si>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</si>
  <si>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</si>
  <si>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</si>
  <si>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</si>
  <si>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</si>
  <si>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</si>
  <si>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</si>
  <si>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</si>
  <si>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</si>
  <si>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</si>
  <si>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</si>
  <si>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</si>
  <si>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</si>
  <si>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</si>
  <si>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</si>
  <si>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</si>
  <si>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EV STD INT</t>
  </si>
  <si>
    <t>OREY</t>
  </si>
  <si>
    <t>8</t>
  </si>
  <si>
    <r>
      <t>According to SOLAS regulation, this inflatable liferaft requires servicing within 24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months from the date of inspection.</t>
    </r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</si>
  <si>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24</t>
    </r>
    <r>
      <rPr>
        <sz val="8"/>
        <rFont val="Arial"/>
        <family val="2"/>
      </rPr>
      <t xml:space="preserve"> meses a partir da data de inspecção.</t>
    </r>
  </si>
  <si>
    <t>SANTA IRIA I</t>
  </si>
  <si>
    <t>JOSE FERNANDO OLIVEIRA LOPES</t>
  </si>
  <si>
    <t>981348</t>
  </si>
  <si>
    <t>79992518</t>
  </si>
  <si>
    <t>07/1999</t>
  </si>
  <si>
    <t>AZ25-199</t>
  </si>
  <si>
    <t>10/2028</t>
  </si>
  <si>
    <t>01/2020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</si>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</sst>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G28" sqref="G28:H2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9" t="s">
        <v>75</v>
      </c>
      <c r="J3" s="129"/>
      <c r="K3" s="125" t="s">
        <v>101</v>
      </c>
      <c r="L3" s="126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7" t="s">
        <v>67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8" t="s">
        <v>77</v>
      </c>
      <c r="C8" s="128"/>
      <c r="D8" s="128"/>
      <c r="E8" s="128"/>
      <c r="F8" s="128"/>
      <c r="G8" s="128"/>
      <c r="H8" s="128"/>
      <c r="I8" s="128"/>
      <c r="J8" s="128"/>
      <c r="K8" s="128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91</v>
      </c>
      <c r="D12" s="88"/>
      <c r="E12" s="130"/>
      <c r="F12" s="78"/>
      <c r="G12" s="106" t="s">
        <v>93</v>
      </c>
      <c r="H12" s="80"/>
      <c r="I12" s="106" t="s">
        <v>99</v>
      </c>
      <c r="J12" s="80"/>
      <c r="K12" s="106" t="s">
        <v>100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87</v>
      </c>
      <c r="D15" s="88"/>
      <c r="E15" s="88"/>
      <c r="F15" s="78"/>
      <c r="G15" s="26">
        <v>10</v>
      </c>
      <c r="H15" s="20" t="s">
        <v>19</v>
      </c>
      <c r="I15" s="26">
        <v>1</v>
      </c>
      <c r="J15" s="20" t="s">
        <v>68</v>
      </c>
      <c r="K15" s="87">
        <v>6</v>
      </c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98</v>
      </c>
      <c r="D19" s="121"/>
      <c r="E19" s="121"/>
      <c r="F19" s="122"/>
      <c r="G19" s="123">
        <v>2.2000000000000002</v>
      </c>
      <c r="H19" s="123"/>
      <c r="I19" s="123">
        <v>0.13</v>
      </c>
      <c r="J19" s="123"/>
      <c r="K19" s="119" t="s">
        <v>103</v>
      </c>
      <c r="L19" s="119"/>
      <c r="M19" s="18"/>
    </row>
    <row r="20" spans="1:13" ht="15" x14ac:dyDescent="0.25">
      <c r="A20" s="11"/>
      <c r="B20" s="11"/>
      <c r="C20" s="120"/>
      <c r="D20" s="121"/>
      <c r="E20" s="121"/>
      <c r="F20" s="122"/>
      <c r="G20" s="123"/>
      <c r="H20" s="123"/>
      <c r="I20" s="123"/>
      <c r="J20" s="123"/>
      <c r="K20" s="124"/>
      <c r="L20" s="124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 t="s">
        <v>104</v>
      </c>
      <c r="H26" s="77"/>
      <c r="I26" s="107" t="str">
        <f>I12</f>
        <v>79992518</v>
      </c>
      <c r="J26" s="108"/>
      <c r="K26" s="105" t="s">
        <v>102</v>
      </c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 t="s">
        <v>1</v>
      </c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88</v>
      </c>
      <c r="F40" s="77"/>
      <c r="G40" s="52" t="s">
        <v>52</v>
      </c>
      <c r="H40" s="77" t="s">
        <v>88</v>
      </c>
      <c r="I40" s="52" t="s">
        <v>73</v>
      </c>
      <c r="J40" s="77" t="s">
        <v>88</v>
      </c>
      <c r="K40" s="52" t="s">
        <v>52</v>
      </c>
      <c r="L40" s="77" t="s">
        <v>88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45947</v>
      </c>
      <c r="D47" s="96"/>
      <c r="E47" s="96"/>
      <c r="F47" s="97"/>
      <c r="G47" s="87" t="s">
        <v>92</v>
      </c>
      <c r="H47" s="88"/>
      <c r="I47" s="88"/>
      <c r="J47" s="78"/>
      <c r="K47" s="90">
        <f>C47+365+365+366</f>
        <v>47043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 t="s">
        <v>89</v>
      </c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 t="s">
        <v>94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 t="s">
        <v>95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86</v>
      </c>
      <c r="B57" s="86"/>
      <c r="C57" s="30"/>
      <c r="D57" s="133" t="s">
        <v>90</v>
      </c>
      <c r="E57" s="133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3"/>
      <c r="E58" s="133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4"/>
      <c r="E59" s="134"/>
      <c r="F59" s="64"/>
      <c r="G59" s="42"/>
      <c r="H59" s="40"/>
      <c r="I59" s="137" t="s">
        <v>74</v>
      </c>
      <c r="J59" s="137"/>
      <c r="K59" s="137"/>
      <c r="L59" s="137"/>
      <c r="M59" s="32"/>
    </row>
    <row r="60" spans="1:13" ht="9.75" customHeight="1" x14ac:dyDescent="0.25">
      <c r="A60" s="135"/>
      <c r="B60" s="135"/>
      <c r="C60" s="58"/>
      <c r="D60" s="134"/>
      <c r="E60" s="134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3" s="33" customFormat="1" ht="14.1" customHeight="1" x14ac:dyDescent="0.25">
      <c r="A61" s="57" t="s">
        <v>85</v>
      </c>
      <c r="B61" s="57"/>
      <c r="C61" s="30"/>
      <c r="D61" s="133"/>
      <c r="E61" s="133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3"/>
      <c r="E62" s="133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3" t="s">
        <v>96</v>
      </c>
      <c r="E63" s="133"/>
      <c r="F63" s="133"/>
      <c r="G63" s="133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3"/>
      <c r="E64" s="133"/>
      <c r="F64" s="133"/>
      <c r="G64" s="133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3" t="s">
        <v>97</v>
      </c>
      <c r="E65" s="133"/>
      <c r="F65" s="133"/>
      <c r="G65" s="133"/>
      <c r="H65" s="133"/>
      <c r="I65" s="133"/>
      <c r="J65" s="136"/>
      <c r="K65" s="136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3"/>
      <c r="E66" s="133"/>
      <c r="F66" s="133"/>
      <c r="G66" s="133"/>
      <c r="H66" s="133"/>
      <c r="I66" s="133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1" t="s">
        <v>83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</row>
    <row r="70" spans="1:13" x14ac:dyDescent="0.25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</row>
    <row r="71" spans="1:13" x14ac:dyDescent="0.25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</row>
    <row r="72" spans="1:13" x14ac:dyDescent="0.25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</row>
    <row r="73" spans="1:13" x14ac:dyDescent="0.25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</row>
    <row r="74" spans="1:13" x14ac:dyDescent="0.25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</row>
    <row r="75" spans="1:13" x14ac:dyDescent="0.25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</row>
    <row r="76" spans="1:13" x14ac:dyDescent="0.25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</row>
    <row r="77" spans="1:13" x14ac:dyDescent="0.25">
      <c r="G77" s="132" t="s">
        <v>81</v>
      </c>
      <c r="H77" s="132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2025-10-17T15:35:33Z</cp:lastPrinted>
  <dcterms:created xsi:type="dcterms:W3CDTF">2001-08-01T17:12:05Z</dcterms:created>
  <dcterms:modified xsi:type="dcterms:W3CDTF">2025-10-17T15:35:37Z</dcterms:modified>
</cp:coreProperties>
</file>