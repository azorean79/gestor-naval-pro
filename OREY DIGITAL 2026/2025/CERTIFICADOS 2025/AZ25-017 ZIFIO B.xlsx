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C473163-4155-45F1-B2D0-E1C28D03BCA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M57" i="10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<sst xmlns="http://schemas.openxmlformats.org/spreadsheetml/2006/main" count="364" uniqueCount="329">
  <si>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</si>
  <si>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</si>
  <si>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</si>
  <si>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</si>
  <si>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</si>
  <si>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</si>
  <si>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</si>
  <si>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</si>
  <si>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</si>
  <si>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</si>
  <si>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</si>
  <si>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</si>
  <si>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</si>
  <si>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</si>
  <si>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</si>
  <si>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</si>
  <si>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</si>
  <si>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</si>
  <si>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</si>
  <si>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</si>
  <si>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</si>
  <si>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</si>
  <si>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</si>
  <si>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</si>
  <si>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</si>
  <si>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</si>
  <si>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</si>
  <si>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</si>
  <si>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</si>
  <si>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</si>
  <si>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</si>
  <si>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</si>
  <si>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</si>
  <si>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</si>
  <si>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</si>
  <si>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</si>
  <si>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</si>
  <si>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</si>
  <si>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</si>
  <si>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</si>
  <si>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</si>
  <si>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</si>
  <si>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</si>
  <si>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</si>
  <si>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</si>
  <si>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</si>
  <si>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</si>
  <si>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</si>
  <si>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</si>
  <si>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</si>
  <si>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</si>
  <si>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</si>
  <si>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</si>
  <si>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</si>
  <si>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</si>
  <si>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</si>
  <si>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</si>
  <si>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</si>
  <si>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</si>
  <si>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</si>
  <si>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</si>
  <si>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</si>
  <si>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</si>
  <si>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</si>
  <si>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</si>
  <si>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</si>
  <si>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</si>
  <si>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</si>
  <si>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</si>
  <si>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</si>
  <si>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</si>
  <si>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</si>
  <si>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</si>
  <si>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</si>
  <si>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</si>
  <si>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</si>
  <si>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</si>
  <si>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</si>
  <si>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</si>
  <si>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</si>
  <si>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</si>
  <si>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</si>
  <si>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</si>
  <si>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</si>
  <si>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</si>
  <si>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</si>
  <si>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</si>
  <si>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</si>
  <si>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</si>
  <si>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</si>
  <si>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</si>
  <si>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</si>
  <si>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</si>
  <si>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</si>
  <si>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</si>
  <si>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</si>
  <si>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</si>
  <si>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</si>
  <si>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</si>
  <si>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</si>
  <si>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</si>
  <si>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</si>
  <si>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</si>
  <si>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</si>
  <si>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</si>
  <si>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</si>
  <si>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</si>
  <si>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</si>
  <si>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</si>
  <si>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</si>
  <si>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</si>
  <si>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</si>
  <si>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</si>
  <si>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</si>
  <si>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</si>
  <si>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</si>
  <si>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</si>
  <si>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</si>
  <si>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</si>
  <si>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</si>
  <si>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</si>
  <si>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</si>
  <si>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</si>
  <si>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</si>
  <si>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</si>
  <si>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</si>
  <si>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</si>
  <si>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</si>
  <si>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</si>
  <si>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</si>
  <si>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</si>
  <si>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</si>
  <si>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</si>
  <si>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</si>
  <si>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</si>
  <si>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</si>
  <si>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</si>
  <si>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</si>
  <si>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</si>
  <si>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</si>
  <si>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</si>
  <si>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</si>
  <si>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</si>
  <si>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</si>
  <si>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</si>
  <si>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</si>
  <si>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</si>
  <si>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</si>
  <si>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</si>
  <si>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</si>
  <si>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</si>
  <si>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</si>
  <si>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</si>
  <si>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</si>
  <si>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</si>
  <si>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</si>
  <si>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</si>
  <si>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</si>
  <si>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</si>
  <si>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</si>
  <si>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</si>
  <si>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</si>
  <si>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</si>
  <si>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</si>
  <si>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</si>
  <si>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</si>
  <si>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</si>
  <si>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</si>
  <si>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</si>
  <si>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</si>
  <si>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</si>
  <si>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</si>
  <si>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</si>
  <si>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</si>
  <si>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</si>
  <si>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</si>
  <si>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</si>
  <si>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</si>
  <si>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</si>
  <si>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</si>
  <si>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</si>
  <si>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</si>
  <si>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</si>
  <si>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</si>
  <si>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</si>
  <si>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</si>
  <si>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</si>
  <si>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</si>
  <si>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</si>
  <si>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</si>
  <si>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</si>
  <si>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</si>
  <si>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</si>
  <si>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</si>
  <si>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</si>
  <si>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</si>
  <si>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</si>
  <si>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</si>
  <si>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</si>
  <si>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</si>
  <si>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</si>
  <si>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</si>
  <si>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</si>
  <si>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</si>
  <si>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</si>
  <si>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</si>
  <si>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</si>
  <si>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</si>
  <si>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</si>
  <si>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</si>
  <si>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</si>
  <si>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</si>
  <si>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</si>
  <si>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</si>
  <si>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</si>
  <si>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</si>
  <si>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</si>
  <si>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</si>
  <si>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</si>
  <si>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</si>
  <si>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</si>
  <si>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</si>
  <si>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</si>
  <si>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</si>
  <si>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</si>
  <si>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</si>
  <si>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</si>
  <si>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</si>
  <si>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</si>
  <si>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</si>
  <si>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</si>
  <si>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</si>
  <si>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</si>
  <si>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</si>
  <si>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</si>
  <si>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</si>
  <si>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</si>
  <si>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</si>
  <si>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</si>
  <si>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</si>
  <si>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</si>
  <si>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</si>
  <si>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</si>
  <si>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</si>
  <si>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</si>
  <si>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</si>
  <si>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</si>
  <si>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</si>
  <si>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</si>
  <si>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</si>
  <si>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</si>
  <si>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</si>
  <si>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</si>
  <si>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</si>
  <si>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</si>
  <si>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</si>
  <si>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</si>
  <si>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</si>
  <si>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</si>
  <si>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</si>
  <si>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</si>
  <si>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</si>
  <si>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</si>
  <si>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</si>
  <si>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</si>
  <si>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</si>
  <si>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</si>
  <si>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</si>
  <si>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</si>
  <si>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</si>
  <si>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</si>
  <si>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</si>
  <si>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</si>
  <si>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</si>
  <si>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</si>
  <si>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</si>
  <si>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</si>
  <si>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</si>
  <si>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</si>
  <si>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</si>
  <si>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</si>
  <si>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</si>
  <si>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</si>
  <si>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</si>
  <si>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</si>
  <si>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</si>
  <si>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</si>
  <si>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</si>
  <si>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</si>
  <si>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</si>
  <si>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</si>
  <si>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</si>
  <si>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</si>
  <si>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</si>
  <si>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</si>
  <si>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</si>
  <si>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</si>
  <si>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</si>
  <si>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</si>
  <si>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</si>
  <si>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</si>
  <si>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</si>
  <si>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</si>
  <si>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</si>
  <si>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</si>
  <si>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</si>
  <si>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</si>
  <si>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</si>
  <si>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</si>
  <si>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</si>
  <si>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0,120</t>
  </si>
  <si>
    <t>VTE99</t>
  </si>
  <si>
    <t>&lt; 24H</t>
  </si>
  <si>
    <t>(60)</t>
  </si>
  <si>
    <t>(3)</t>
  </si>
  <si>
    <t>EUROVINIL ISO 9650-2</t>
  </si>
  <si>
    <t>11/22</t>
  </si>
  <si>
    <t>03/22</t>
  </si>
  <si>
    <t>1032 Hpa</t>
  </si>
  <si>
    <t>16 Cº</t>
  </si>
  <si>
    <t>ZIFIO</t>
  </si>
  <si>
    <t>7,095</t>
  </si>
  <si>
    <t>10,070</t>
  </si>
  <si>
    <t>12-09-2018</t>
  </si>
  <si>
    <t>07/18</t>
  </si>
  <si>
    <t>BESTSPOT AZORES</t>
  </si>
  <si>
    <t>791900024</t>
  </si>
  <si>
    <t>K73697</t>
  </si>
  <si>
    <t>AZ25-017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</si>
</sst>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26" workbookViewId="0">
      <selection activeCell="P43" sqref="P4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AZ25-017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EUROVINIL ISO 9650-2</v>
      </c>
      <c r="D12" s="184"/>
      <c r="E12" s="185"/>
      <c r="F12" s="174"/>
      <c r="G12" s="175">
        <f>QUADRO!J7</f>
        <v>10</v>
      </c>
      <c r="H12" s="174"/>
      <c r="I12" s="187" t="str">
        <f>QUADRO!C7</f>
        <v>791900024</v>
      </c>
      <c r="J12" s="188"/>
      <c r="K12" s="173" t="str">
        <f>QUADRO!G79</f>
        <v>12-09-2018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309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K73697</v>
      </c>
      <c r="D19" s="208"/>
      <c r="E19" s="208"/>
      <c r="F19" s="209"/>
      <c r="G19" s="190">
        <f>QUADRO!I62</f>
        <v>2.85</v>
      </c>
      <c r="H19" s="190"/>
      <c r="I19" s="190" t="str">
        <f>QUADRO!I64</f>
        <v>0,120</v>
      </c>
      <c r="J19" s="190"/>
      <c r="K19" s="191" t="str">
        <f>QUADRO!I66</f>
        <v>07/18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&lt; 24H</v>
      </c>
      <c r="H26" s="221"/>
      <c r="I26" s="201" t="str">
        <f>QUADRO!C7</f>
        <v>791900024</v>
      </c>
      <c r="J26" s="202"/>
      <c r="K26" s="203">
        <f>QUADRO!F81+366+365+365</f>
        <v>46809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45713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C47+365+365+365</f>
        <v>46808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 t="s">
        <v>306</v>
      </c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/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ZIFIO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325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305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1" sqref="F81:F82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328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326</v>
      </c>
      <c r="D7" s="80" t="s">
        <v>93</v>
      </c>
      <c r="E7" s="256" t="s">
        <v>320</v>
      </c>
      <c r="F7" s="257"/>
      <c r="G7" s="81" t="s">
        <v>94</v>
      </c>
      <c r="H7" s="256" t="s">
        <v>315</v>
      </c>
      <c r="I7" s="268"/>
      <c r="J7" s="271">
        <v>10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313</v>
      </c>
      <c r="J15" s="106" t="s">
        <v>316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308</v>
      </c>
      <c r="J17" s="106" t="s">
        <v>317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314</v>
      </c>
      <c r="J19" s="106" t="s">
        <v>317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312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311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327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  <c r="M57" s="164">
        <f>I60+I62+I64</f>
        <v>10.065</v>
      </c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322</v>
      </c>
      <c r="J58" s="274"/>
      <c r="M58" s="16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321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2.85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310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324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304</v>
      </c>
      <c r="E69" s="289"/>
      <c r="F69" s="144" t="s">
        <v>268</v>
      </c>
      <c r="G69" s="145" t="s">
        <v>269</v>
      </c>
      <c r="H69" s="292" t="s">
        <v>319</v>
      </c>
      <c r="I69" s="145" t="s">
        <v>270</v>
      </c>
      <c r="J69" s="294" t="s">
        <v>319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318</v>
      </c>
      <c r="I71" s="145" t="s">
        <v>270</v>
      </c>
      <c r="J71" s="292" t="s">
        <v>318</v>
      </c>
    </row>
    <row r="72" spans="1:11" ht="42" customHeight="1" x14ac:dyDescent="0.3">
      <c r="B72" s="287"/>
      <c r="C72" s="151">
        <v>0.42708333333333331</v>
      </c>
      <c r="D72" s="151">
        <v>0.46875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56.9</v>
      </c>
      <c r="D73" s="299">
        <v>56.1</v>
      </c>
      <c r="E73" s="301">
        <f>1-(D73/C73)</f>
        <v>1.4059753954305698E-2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59.2</v>
      </c>
      <c r="D75" s="299">
        <v>58.4</v>
      </c>
      <c r="E75" s="301">
        <f>1-(D75/C75)</f>
        <v>1.3513513513513598E-2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323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45713</v>
      </c>
      <c r="G81" s="159" t="s">
        <v>294</v>
      </c>
      <c r="H81" s="319" t="s">
        <v>307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2025-02-25T17:37:38Z</cp:lastPrinted>
  <dcterms:created xsi:type="dcterms:W3CDTF">2001-08-01T17:12:05Z</dcterms:created>
  <dcterms:modified xsi:type="dcterms:W3CDTF">2025-02-25T17:38:04Z</dcterms:modified>
</cp:coreProperties>
</file>