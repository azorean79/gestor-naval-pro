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36A0DE13-6D32-4193-AC60-2A868A3D4A6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2" i="10" l="1"/>
  <c r="K3" i="9"/>
  <c r="C12" i="9"/>
  <c r="I12" i="9"/>
  <c r="K12" i="9"/>
  <c r="G19" i="9"/>
  <c r="I19" i="9"/>
  <c r="C19" i="9"/>
  <c r="D63" i="9"/>
  <c r="M61" i="10" l="1"/>
  <c r="K26" i="9"/>
  <c r="G12" i="9" l="1"/>
  <c r="G47" i="9" l="1"/>
  <c r="L42" i="9"/>
  <c r="I26" i="9"/>
  <c r="K19" i="9"/>
  <c r="C47" i="9"/>
  <c r="K47" i="9" s="1"/>
  <c r="G26" i="9"/>
  <c r="E79" i="10"/>
  <c r="E77" i="10"/>
  <c r="E75" i="10"/>
  <c r="E73" i="10"/>
</calcChain>
</file>

<file path=xl/sharedStrings.xml><?xml version="1.0" encoding="utf-8"?>
<sst xmlns="http://schemas.openxmlformats.org/spreadsheetml/2006/main" count="357" uniqueCount="324">
  <si>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</si>
  <si>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</si>
  <si>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</si>
  <si>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</si>
  <si>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</si>
  <si>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</si>
  <si>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</si>
  <si>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</si>
  <si>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</si>
  <si>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</si>
  <si>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</si>
  <si>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</si>
  <si>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</si>
  <si>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</si>
  <si>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</si>
  <si>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</si>
  <si>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</si>
  <si>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</si>
  <si>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</si>
  <si>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</si>
  <si>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</si>
  <si>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</si>
  <si>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</si>
  <si>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</si>
  <si>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</si>
  <si>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</si>
  <si>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</si>
  <si>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</si>
  <si>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</si>
  <si>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</si>
  <si>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</si>
  <si>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</si>
  <si>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</si>
  <si>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</si>
  <si>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</si>
  <si>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</si>
  <si>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</si>
  <si>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</si>
  <si>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</si>
  <si>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</si>
  <si>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</si>
  <si>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</si>
  <si>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</si>
  <si>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</si>
  <si>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</si>
  <si>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</si>
  <si>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</si>
  <si>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</si>
  <si>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</si>
  <si>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</si>
  <si>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</si>
  <si>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</si>
  <si>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</si>
  <si>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</si>
  <si>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</si>
  <si>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</si>
  <si>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</si>
  <si>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</si>
  <si>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</si>
  <si>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</si>
  <si>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</si>
  <si>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</si>
  <si>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</si>
  <si>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</si>
  <si>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</si>
  <si>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</si>
  <si>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</si>
  <si>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</si>
  <si>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</si>
  <si>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</si>
  <si>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</si>
  <si>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</si>
  <si>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</si>
  <si>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</si>
  <si>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</si>
  <si>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</si>
  <si>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</si>
  <si>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</si>
  <si>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</si>
  <si>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</si>
  <si>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</si>
  <si>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</si>
  <si>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</si>
  <si>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</si>
  <si>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</si>
  <si>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</si>
  <si>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</si>
  <si>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</si>
  <si>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</si>
  <si>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</si>
  <si>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</si>
  <si>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</si>
  <si>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</si>
  <si>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</si>
  <si>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</si>
  <si>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</si>
  <si>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</si>
  <si>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</si>
  <si>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</si>
  <si>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</si>
  <si>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</si>
  <si>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</si>
  <si>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</si>
  <si>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</si>
  <si>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</si>
  <si>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</si>
  <si>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</si>
  <si>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</si>
  <si>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</si>
  <si>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</si>
  <si>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</si>
  <si>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</si>
  <si>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</si>
  <si>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</si>
  <si>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</si>
  <si>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</si>
  <si>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</si>
  <si>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</si>
  <si>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</si>
  <si>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</si>
  <si>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</si>
  <si>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</si>
  <si>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</si>
  <si>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</si>
  <si>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</si>
  <si>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</si>
  <si>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</si>
  <si>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</si>
  <si>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</si>
  <si>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</si>
  <si>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</si>
  <si>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</si>
  <si>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</si>
  <si>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</si>
  <si>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</si>
  <si>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</si>
  <si>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</si>
  <si>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</si>
  <si>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</si>
  <si>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</si>
  <si>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</si>
  <si>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</si>
  <si>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</si>
  <si>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</si>
  <si>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</si>
  <si>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</si>
  <si>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</si>
  <si>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</si>
  <si>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</si>
  <si>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</si>
  <si>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</si>
  <si>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</si>
  <si>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</si>
  <si>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</si>
  <si>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</si>
  <si>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</si>
  <si>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</si>
  <si>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</si>
  <si>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</si>
  <si>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</si>
  <si>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</si>
  <si>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</si>
  <si>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</si>
  <si>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</si>
  <si>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</si>
  <si>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</si>
  <si>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</si>
  <si>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</si>
  <si>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</si>
  <si>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</si>
  <si>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</si>
  <si>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</si>
  <si>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</si>
  <si>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</si>
  <si>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</si>
  <si>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</si>
  <si>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</si>
  <si>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</si>
  <si>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</si>
  <si>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</si>
  <si>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</si>
  <si>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</si>
  <si>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</si>
  <si>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</si>
  <si>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</si>
  <si>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</si>
  <si>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</si>
  <si>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</si>
  <si>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</si>
  <si>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</si>
  <si>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</si>
  <si>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</si>
  <si>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</si>
  <si>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</si>
  <si>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</si>
  <si>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</si>
  <si>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</si>
  <si>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</si>
  <si>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</si>
  <si>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</si>
  <si>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</si>
  <si>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</si>
  <si>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</si>
  <si>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</si>
  <si>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</si>
  <si>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</si>
  <si>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</si>
  <si>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</si>
  <si>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</si>
  <si>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</si>
  <si>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</si>
  <si>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</si>
  <si>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</si>
  <si>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</si>
  <si>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</si>
  <si>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</si>
  <si>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</si>
  <si>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</si>
  <si>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</si>
  <si>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</si>
  <si>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</si>
  <si>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</si>
  <si>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</si>
  <si>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</si>
  <si>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</si>
  <si>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</si>
  <si>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</si>
  <si>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</si>
  <si>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</si>
  <si>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</si>
  <si>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</si>
  <si>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</si>
  <si>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</si>
  <si>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</si>
  <si>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</si>
  <si>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</si>
  <si>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</si>
  <si>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</si>
  <si>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</si>
  <si>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</si>
  <si>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</si>
  <si>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</si>
  <si>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</si>
  <si>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</si>
  <si>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</si>
  <si>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</si>
  <si>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</si>
  <si>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</si>
  <si>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</si>
  <si>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</si>
  <si>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</si>
  <si>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</si>
  <si>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</si>
  <si>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</si>
  <si>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</si>
  <si>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</si>
  <si>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</si>
  <si>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</si>
  <si>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</si>
  <si>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</si>
  <si>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</si>
  <si>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</si>
  <si>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</si>
  <si>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</si>
  <si>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</si>
  <si>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</si>
  <si>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</si>
  <si>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</si>
  <si>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</si>
  <si>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</si>
  <si>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</si>
  <si>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</si>
  <si>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</si>
  <si>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</si>
  <si>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</si>
  <si>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</si>
  <si>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</si>
  <si>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</si>
  <si>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</si>
  <si>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</si>
  <si>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</si>
  <si>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</si>
  <si>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</si>
  <si>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</si>
  <si>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</si>
  <si>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</si>
  <si>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</si>
  <si>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</si>
  <si>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</si>
  <si>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</si>
  <si>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</si>
  <si>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</si>
  <si>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</si>
  <si>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</si>
  <si>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</si>
  <si>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</si>
  <si>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</si>
  <si>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</si>
  <si>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</si>
  <si>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</si>
  <si>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</si>
  <si>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</si>
  <si>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</si>
  <si>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</si>
  <si>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</si>
  <si>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t>JULIO CORREA</t>
  </si>
  <si>
    <t>(2)</t>
  </si>
  <si>
    <t>PVC</t>
  </si>
  <si>
    <t>1015 Hpa</t>
  </si>
  <si>
    <t>EUROVINIL</t>
  </si>
  <si>
    <t>9,110</t>
  </si>
  <si>
    <t>6,140</t>
  </si>
  <si>
    <t>19 Cº</t>
  </si>
  <si>
    <t>79180211</t>
  </si>
  <si>
    <t>0,080</t>
  </si>
  <si>
    <t>01/2018</t>
  </si>
  <si>
    <t>STD</t>
  </si>
  <si>
    <t>RELAX</t>
  </si>
  <si>
    <t>JOSE SILVINO P. A. OLIVEIRA</t>
  </si>
  <si>
    <t>K71552</t>
  </si>
  <si>
    <t>07/17</t>
  </si>
  <si>
    <t>AZ25-058</t>
  </si>
  <si>
    <t>PORTUGAL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</si>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</sst>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6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46" workbookViewId="0">
      <selection activeCell="A69" sqref="A69:L7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AZ25-058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EUROVINIL</v>
      </c>
      <c r="D12" s="166"/>
      <c r="E12" s="236"/>
      <c r="F12" s="167"/>
      <c r="G12" s="165">
        <f>QUADRO!J7</f>
        <v>6</v>
      </c>
      <c r="H12" s="167"/>
      <c r="I12" s="211" t="str">
        <f>QUADRO!C7</f>
        <v>79180211</v>
      </c>
      <c r="J12" s="212"/>
      <c r="K12" s="230" t="str">
        <f>QUADRO!G79</f>
        <v>01/2018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307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K71552</v>
      </c>
      <c r="D19" s="198"/>
      <c r="E19" s="198"/>
      <c r="F19" s="199"/>
      <c r="G19" s="227">
        <f>QUADRO!I62</f>
        <v>2.1</v>
      </c>
      <c r="H19" s="227"/>
      <c r="I19" s="227" t="str">
        <f>QUADRO!I64</f>
        <v>0,080</v>
      </c>
      <c r="J19" s="227"/>
      <c r="K19" s="228" t="str">
        <f>QUADRO!I66</f>
        <v>07/17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STD</v>
      </c>
      <c r="H26" s="196"/>
      <c r="I26" s="209" t="str">
        <f>QUADRO!C7</f>
        <v>79180211</v>
      </c>
      <c r="J26" s="210"/>
      <c r="K26" s="221">
        <f>QUADRO!F81+366+365+365</f>
        <v>46832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45736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46832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/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8" t="s">
        <v>322</v>
      </c>
      <c r="E57" s="238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8"/>
      <c r="E58" s="238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39"/>
      <c r="E59" s="239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39"/>
      <c r="E60" s="239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8"/>
      <c r="E61" s="238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8"/>
      <c r="E62" s="238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0" t="str">
        <f>QUADRO!E7</f>
        <v>RELAX</v>
      </c>
      <c r="E63" s="240"/>
      <c r="F63" s="240"/>
      <c r="G63" s="240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0"/>
      <c r="E64" s="240"/>
      <c r="F64" s="240"/>
      <c r="G64" s="24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8" t="s">
        <v>318</v>
      </c>
      <c r="E65" s="238"/>
      <c r="F65" s="238"/>
      <c r="G65" s="238"/>
      <c r="H65" s="238"/>
      <c r="I65" s="238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8"/>
      <c r="E66" s="238"/>
      <c r="F66" s="238"/>
      <c r="G66" s="238"/>
      <c r="H66" s="238"/>
      <c r="I66" s="238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334" t="s">
        <v>323</v>
      </c>
      <c r="B69" s="335"/>
      <c r="C69" s="335"/>
      <c r="D69" s="335"/>
      <c r="E69" s="335"/>
      <c r="F69" s="335"/>
      <c r="G69" s="335"/>
      <c r="H69" s="335"/>
      <c r="I69" s="335"/>
      <c r="J69" s="335"/>
      <c r="K69" s="335"/>
      <c r="L69" s="335"/>
    </row>
    <row r="70" spans="1:13" x14ac:dyDescent="0.25">
      <c r="A70" s="335"/>
      <c r="B70" s="335"/>
      <c r="C70" s="335"/>
      <c r="D70" s="335"/>
      <c r="E70" s="335"/>
      <c r="F70" s="335"/>
      <c r="G70" s="335"/>
      <c r="H70" s="335"/>
      <c r="I70" s="335"/>
      <c r="J70" s="335"/>
      <c r="K70" s="335"/>
      <c r="L70" s="335"/>
    </row>
    <row r="71" spans="1:13" x14ac:dyDescent="0.25">
      <c r="A71" s="335"/>
      <c r="B71" s="335"/>
      <c r="C71" s="335"/>
      <c r="D71" s="335"/>
      <c r="E71" s="335"/>
      <c r="F71" s="335"/>
      <c r="G71" s="335"/>
      <c r="H71" s="335"/>
      <c r="I71" s="335"/>
      <c r="J71" s="335"/>
      <c r="K71" s="335"/>
      <c r="L71" s="335"/>
    </row>
    <row r="72" spans="1:13" x14ac:dyDescent="0.25">
      <c r="A72" s="335"/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</row>
    <row r="73" spans="1:13" x14ac:dyDescent="0.25">
      <c r="A73" s="335"/>
      <c r="B73" s="335"/>
      <c r="C73" s="335"/>
      <c r="D73" s="335"/>
      <c r="E73" s="335"/>
      <c r="F73" s="335"/>
      <c r="G73" s="335"/>
      <c r="H73" s="335"/>
      <c r="I73" s="335"/>
      <c r="J73" s="335"/>
      <c r="K73" s="335"/>
      <c r="L73" s="335"/>
    </row>
    <row r="74" spans="1:13" x14ac:dyDescent="0.25">
      <c r="A74" s="335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</row>
    <row r="75" spans="1:13" x14ac:dyDescent="0.25">
      <c r="A75" s="335"/>
      <c r="B75" s="335"/>
      <c r="C75" s="335"/>
      <c r="D75" s="335"/>
      <c r="E75" s="335"/>
      <c r="F75" s="335"/>
      <c r="G75" s="335"/>
      <c r="H75" s="335"/>
      <c r="I75" s="335"/>
      <c r="J75" s="335"/>
      <c r="K75" s="335"/>
      <c r="L75" s="335"/>
    </row>
    <row r="76" spans="1:13" x14ac:dyDescent="0.25">
      <c r="A76" s="335"/>
      <c r="B76" s="335"/>
      <c r="C76" s="335"/>
      <c r="D76" s="335"/>
      <c r="E76" s="335"/>
      <c r="F76" s="335"/>
      <c r="G76" s="335"/>
      <c r="H76" s="335"/>
      <c r="I76" s="335"/>
      <c r="J76" s="335"/>
      <c r="K76" s="335"/>
      <c r="L76" s="335"/>
    </row>
    <row r="77" spans="1:13" x14ac:dyDescent="0.25">
      <c r="G77" s="237" t="s">
        <v>81</v>
      </c>
      <c r="H77" s="23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2" zoomScale="48" zoomScaleNormal="48" workbookViewId="0">
      <selection activeCell="I5" sqref="I5:J6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29.332031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2" t="s">
        <v>86</v>
      </c>
      <c r="E3" s="322"/>
      <c r="F3" s="322"/>
      <c r="G3" s="322"/>
      <c r="H3" s="323" t="s">
        <v>87</v>
      </c>
      <c r="I3" s="325"/>
      <c r="J3" s="326"/>
    </row>
    <row r="4" spans="2:15" s="79" customFormat="1" ht="23.4" customHeight="1" x14ac:dyDescent="0.4">
      <c r="B4" s="77" t="s">
        <v>88</v>
      </c>
      <c r="C4" s="78"/>
      <c r="D4" s="327" t="s">
        <v>89</v>
      </c>
      <c r="E4" s="327"/>
      <c r="F4" s="327"/>
      <c r="G4" s="328"/>
      <c r="H4" s="324"/>
      <c r="I4" s="326"/>
      <c r="J4" s="326"/>
    </row>
    <row r="5" spans="2:15" s="79" customFormat="1" ht="23.4" customHeight="1" x14ac:dyDescent="0.4">
      <c r="B5" s="77" t="s">
        <v>90</v>
      </c>
      <c r="C5" s="77"/>
      <c r="H5" s="329" t="s">
        <v>91</v>
      </c>
      <c r="I5" s="331" t="s">
        <v>321</v>
      </c>
      <c r="J5" s="33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0"/>
      <c r="I6" s="333"/>
      <c r="J6" s="333"/>
    </row>
    <row r="7" spans="2:15" ht="23.4" customHeight="1" x14ac:dyDescent="0.3">
      <c r="B7" s="80" t="s">
        <v>92</v>
      </c>
      <c r="C7" s="306" t="s">
        <v>313</v>
      </c>
      <c r="D7" s="80" t="s">
        <v>93</v>
      </c>
      <c r="E7" s="308" t="s">
        <v>317</v>
      </c>
      <c r="F7" s="309"/>
      <c r="G7" s="81" t="s">
        <v>94</v>
      </c>
      <c r="H7" s="308" t="s">
        <v>309</v>
      </c>
      <c r="I7" s="317"/>
      <c r="J7" s="320">
        <v>6</v>
      </c>
    </row>
    <row r="8" spans="2:15" ht="23.4" customHeight="1" x14ac:dyDescent="0.3">
      <c r="B8" s="82" t="s">
        <v>95</v>
      </c>
      <c r="C8" s="307"/>
      <c r="D8" s="82" t="s">
        <v>96</v>
      </c>
      <c r="E8" s="310"/>
      <c r="F8" s="311"/>
      <c r="G8" s="83" t="s">
        <v>97</v>
      </c>
      <c r="H8" s="318"/>
      <c r="I8" s="319"/>
      <c r="J8" s="32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306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316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2" t="s">
        <v>232</v>
      </c>
      <c r="H56" s="313"/>
      <c r="I56" s="314" t="s">
        <v>319</v>
      </c>
      <c r="J56" s="315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5" t="s">
        <v>235</v>
      </c>
      <c r="H57" s="284"/>
      <c r="I57" s="280"/>
      <c r="J57" s="316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4" t="s">
        <v>238</v>
      </c>
      <c r="H58" s="278"/>
      <c r="I58" s="279" t="s">
        <v>310</v>
      </c>
      <c r="J58" s="281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5" t="s">
        <v>241</v>
      </c>
      <c r="H59" s="284"/>
      <c r="I59" s="280"/>
      <c r="J59" s="282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4" t="s">
        <v>244</v>
      </c>
      <c r="H60" s="278"/>
      <c r="I60" s="279" t="s">
        <v>311</v>
      </c>
      <c r="J60" s="281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5" t="s">
        <v>247</v>
      </c>
      <c r="H61" s="284"/>
      <c r="I61" s="280"/>
      <c r="J61" s="282"/>
      <c r="M61" s="164">
        <f>I60+I62+I64</f>
        <v>8.32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7" t="s">
        <v>250</v>
      </c>
      <c r="H62" s="278"/>
      <c r="I62" s="300">
        <v>2.1</v>
      </c>
      <c r="J62" s="302"/>
      <c r="M62" s="163">
        <f>I58-I62-I64</f>
        <v>6.93</v>
      </c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84"/>
      <c r="I63" s="301"/>
      <c r="J63" s="303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4" t="s">
        <v>256</v>
      </c>
      <c r="H64" s="278"/>
      <c r="I64" s="279" t="s">
        <v>314</v>
      </c>
      <c r="J64" s="281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5" t="s">
        <v>259</v>
      </c>
      <c r="H65" s="284"/>
      <c r="I65" s="280"/>
      <c r="J65" s="282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7" t="s">
        <v>262</v>
      </c>
      <c r="H66" s="278"/>
      <c r="I66" s="279" t="s">
        <v>320</v>
      </c>
      <c r="J66" s="281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84"/>
      <c r="I67" s="280"/>
      <c r="J67" s="282"/>
    </row>
    <row r="68" spans="1:11" ht="5.25" customHeight="1" x14ac:dyDescent="0.3">
      <c r="B68" s="285"/>
      <c r="C68" s="286"/>
      <c r="D68" s="286"/>
      <c r="E68" s="286"/>
      <c r="F68" s="286"/>
      <c r="G68" s="286"/>
      <c r="H68" s="286"/>
      <c r="I68" s="286"/>
      <c r="J68" s="287"/>
    </row>
    <row r="69" spans="1:11" ht="21" x14ac:dyDescent="0.3">
      <c r="B69" s="288" t="s">
        <v>266</v>
      </c>
      <c r="C69" s="143" t="s">
        <v>267</v>
      </c>
      <c r="D69" s="292" t="s">
        <v>304</v>
      </c>
      <c r="E69" s="293"/>
      <c r="F69" s="144" t="s">
        <v>268</v>
      </c>
      <c r="G69" s="145" t="s">
        <v>269</v>
      </c>
      <c r="H69" s="296" t="s">
        <v>312</v>
      </c>
      <c r="I69" s="145" t="s">
        <v>270</v>
      </c>
      <c r="J69" s="298" t="s">
        <v>312</v>
      </c>
    </row>
    <row r="70" spans="1:11" ht="21.6" customHeight="1" x14ac:dyDescent="0.3">
      <c r="B70" s="289"/>
      <c r="C70" s="146" t="s">
        <v>271</v>
      </c>
      <c r="D70" s="294"/>
      <c r="E70" s="295"/>
      <c r="F70" s="147" t="s">
        <v>272</v>
      </c>
      <c r="G70" s="148" t="s">
        <v>273</v>
      </c>
      <c r="H70" s="297"/>
      <c r="I70" s="148" t="s">
        <v>274</v>
      </c>
      <c r="J70" s="299"/>
    </row>
    <row r="71" spans="1:11" ht="21" x14ac:dyDescent="0.3">
      <c r="B71" s="290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6" t="s">
        <v>308</v>
      </c>
      <c r="I71" s="145" t="s">
        <v>270</v>
      </c>
      <c r="J71" s="296" t="s">
        <v>308</v>
      </c>
    </row>
    <row r="72" spans="1:11" ht="42" customHeight="1" x14ac:dyDescent="0.3">
      <c r="B72" s="291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7"/>
      <c r="I72" s="153" t="s">
        <v>274</v>
      </c>
      <c r="J72" s="297"/>
    </row>
    <row r="73" spans="1:11" ht="21.6" customHeight="1" x14ac:dyDescent="0.3">
      <c r="B73" s="154" t="s">
        <v>281</v>
      </c>
      <c r="C73" s="261">
        <v>51.1</v>
      </c>
      <c r="D73" s="261">
        <v>50.7</v>
      </c>
      <c r="E73" s="263">
        <f>1-(D73/C73)</f>
        <v>7.8277886497064575E-3</v>
      </c>
      <c r="F73" s="265" t="s">
        <v>282</v>
      </c>
      <c r="G73" s="268"/>
      <c r="H73" s="269"/>
      <c r="I73" s="269"/>
      <c r="J73" s="270"/>
    </row>
    <row r="74" spans="1:11" ht="21.6" customHeight="1" x14ac:dyDescent="0.3">
      <c r="B74" s="155" t="s">
        <v>283</v>
      </c>
      <c r="C74" s="262"/>
      <c r="D74" s="262"/>
      <c r="E74" s="264"/>
      <c r="F74" s="266"/>
      <c r="G74" s="271"/>
      <c r="H74" s="272"/>
      <c r="I74" s="272"/>
      <c r="J74" s="273"/>
    </row>
    <row r="75" spans="1:11" ht="21.6" customHeight="1" x14ac:dyDescent="0.3">
      <c r="B75" s="154" t="s">
        <v>284</v>
      </c>
      <c r="C75" s="261">
        <v>57.4</v>
      </c>
      <c r="D75" s="261">
        <v>56.5</v>
      </c>
      <c r="E75" s="263">
        <f>1-(D75/C75)</f>
        <v>1.5679442508710784E-2</v>
      </c>
      <c r="F75" s="266"/>
      <c r="G75" s="271"/>
      <c r="H75" s="272"/>
      <c r="I75" s="272"/>
      <c r="J75" s="273"/>
    </row>
    <row r="76" spans="1:11" ht="21.6" customHeight="1" x14ac:dyDescent="0.3">
      <c r="B76" s="155" t="s">
        <v>285</v>
      </c>
      <c r="C76" s="262"/>
      <c r="D76" s="262"/>
      <c r="E76" s="264"/>
      <c r="F76" s="266"/>
      <c r="G76" s="271"/>
      <c r="H76" s="272"/>
      <c r="I76" s="272"/>
      <c r="J76" s="273"/>
    </row>
    <row r="77" spans="1:11" ht="21" customHeight="1" x14ac:dyDescent="0.3">
      <c r="B77" s="154" t="s">
        <v>286</v>
      </c>
      <c r="C77" s="249"/>
      <c r="D77" s="249"/>
      <c r="E77" s="251" t="e">
        <f>1-(D77/C77)</f>
        <v>#DIV/0!</v>
      </c>
      <c r="F77" s="266"/>
      <c r="G77" s="271"/>
      <c r="H77" s="272"/>
      <c r="I77" s="272"/>
      <c r="J77" s="273"/>
    </row>
    <row r="78" spans="1:11" ht="21" customHeight="1" x14ac:dyDescent="0.3">
      <c r="B78" s="155" t="s">
        <v>287</v>
      </c>
      <c r="C78" s="250"/>
      <c r="D78" s="250"/>
      <c r="E78" s="252"/>
      <c r="F78" s="267"/>
      <c r="G78" s="274"/>
      <c r="H78" s="275"/>
      <c r="I78" s="275"/>
      <c r="J78" s="276"/>
    </row>
    <row r="79" spans="1:11" s="96" customFormat="1" ht="21.6" customHeight="1" x14ac:dyDescent="0.3">
      <c r="A79" s="76"/>
      <c r="B79" s="154" t="s">
        <v>288</v>
      </c>
      <c r="C79" s="249"/>
      <c r="D79" s="249"/>
      <c r="E79" s="251" t="e">
        <f>1-(D79/C79)</f>
        <v>#DIV/0!</v>
      </c>
      <c r="F79" s="156" t="s">
        <v>289</v>
      </c>
      <c r="G79" s="253" t="s">
        <v>315</v>
      </c>
      <c r="H79" s="255"/>
      <c r="I79" s="256"/>
      <c r="J79" s="257"/>
      <c r="K79" s="76"/>
    </row>
    <row r="80" spans="1:11" ht="21" customHeight="1" x14ac:dyDescent="0.3">
      <c r="B80" s="155" t="s">
        <v>290</v>
      </c>
      <c r="C80" s="250"/>
      <c r="D80" s="250"/>
      <c r="E80" s="252"/>
      <c r="F80" s="157" t="s">
        <v>291</v>
      </c>
      <c r="G80" s="254"/>
      <c r="H80" s="258"/>
      <c r="I80" s="259"/>
      <c r="J80" s="260"/>
    </row>
    <row r="81" spans="1:11" ht="30" customHeight="1" x14ac:dyDescent="0.3">
      <c r="A81" s="96"/>
      <c r="B81" s="158" t="s">
        <v>292</v>
      </c>
      <c r="C81" s="243" t="s">
        <v>303</v>
      </c>
      <c r="D81" s="245"/>
      <c r="E81" s="159" t="s">
        <v>293</v>
      </c>
      <c r="F81" s="241">
        <v>45736</v>
      </c>
      <c r="G81" s="159" t="s">
        <v>294</v>
      </c>
      <c r="H81" s="243" t="s">
        <v>305</v>
      </c>
      <c r="I81" s="244"/>
      <c r="J81" s="245"/>
      <c r="K81" s="96"/>
    </row>
    <row r="82" spans="1:11" ht="28.2" customHeight="1" x14ac:dyDescent="0.3">
      <c r="B82" s="160" t="s">
        <v>295</v>
      </c>
      <c r="C82" s="246"/>
      <c r="D82" s="248"/>
      <c r="E82" s="161" t="s">
        <v>296</v>
      </c>
      <c r="F82" s="242"/>
      <c r="G82" s="161" t="s">
        <v>0</v>
      </c>
      <c r="H82" s="246"/>
      <c r="I82" s="247"/>
      <c r="J82" s="248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2022-03-04T11:16:39Z</cp:lastPrinted>
  <dcterms:created xsi:type="dcterms:W3CDTF">2001-08-01T17:12:05Z</dcterms:created>
  <dcterms:modified xsi:type="dcterms:W3CDTF">2025-03-20T16:35:57Z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