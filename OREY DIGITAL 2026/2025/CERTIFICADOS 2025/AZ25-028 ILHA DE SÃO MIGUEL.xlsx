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DACD0650-A785-4B3E-8B2A-96AD471A21C9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G47" i="9"/>
  <c r="L42" i="9"/>
  <c r="G12" i="9"/>
  <c r="K12" i="9"/>
  <c r="C12" i="9"/>
  <c r="I26" i="9"/>
  <c r="D63" i="9"/>
  <c r="K19" i="9"/>
  <c r="I19" i="9"/>
  <c r="G19" i="9"/>
  <c r="C19" i="9"/>
  <c r="C47" i="9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<sst xmlns="http://schemas.openxmlformats.org/spreadsheetml/2006/main" count="366" uniqueCount="328">
  <si>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</si>
  <si>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</si>
  <si>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</si>
  <si>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</si>
  <si>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</si>
  <si>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</si>
  <si>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</si>
  <si>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</si>
  <si>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</si>
  <si>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</si>
  <si>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</si>
  <si>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</si>
  <si>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</si>
  <si>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</si>
  <si>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</si>
  <si>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</si>
  <si>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</si>
  <si>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</si>
  <si>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</si>
  <si>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</si>
  <si>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</si>
  <si>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</si>
  <si>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</si>
  <si>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</si>
  <si>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</si>
  <si>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</si>
  <si>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</si>
  <si>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</si>
  <si>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</si>
  <si>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</si>
  <si>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</si>
  <si>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</si>
  <si>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</si>
  <si>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</si>
  <si>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</si>
  <si>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</si>
  <si>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</si>
  <si>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</si>
  <si>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</si>
  <si>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</si>
  <si>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</si>
  <si>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</si>
  <si>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</si>
  <si>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</si>
  <si>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</si>
  <si>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</si>
  <si>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</si>
  <si>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</si>
  <si>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</si>
  <si>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</si>
  <si>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</si>
  <si>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</si>
  <si>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</si>
  <si>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</si>
  <si>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</si>
  <si>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</si>
  <si>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</si>
  <si>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</si>
  <si>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</si>
  <si>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</si>
  <si>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</si>
  <si>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</si>
  <si>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</si>
  <si>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</si>
  <si>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</si>
  <si>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</si>
  <si>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</si>
  <si>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</si>
  <si>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</si>
  <si>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</si>
  <si>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</si>
  <si>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</si>
  <si>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</si>
  <si>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</si>
  <si>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</si>
  <si>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</si>
  <si>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</si>
  <si>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</si>
  <si>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</si>
  <si>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</si>
  <si>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</si>
  <si>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</si>
  <si>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</si>
  <si>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</si>
  <si>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</si>
  <si>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</si>
  <si>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</si>
  <si>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</si>
  <si>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</si>
  <si>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</si>
  <si>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</si>
  <si>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</si>
  <si>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</si>
  <si>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</si>
  <si>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</si>
  <si>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</si>
  <si>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</si>
  <si>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</si>
  <si>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</si>
  <si>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</si>
  <si>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</si>
  <si>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</si>
  <si>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</si>
  <si>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</si>
  <si>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</si>
  <si>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</si>
  <si>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</si>
  <si>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</si>
  <si>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</si>
  <si>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</si>
  <si>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</si>
  <si>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</si>
  <si>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</si>
  <si>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</si>
  <si>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</si>
  <si>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</si>
  <si>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</si>
  <si>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</si>
  <si>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</si>
  <si>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</si>
  <si>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</si>
  <si>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</si>
  <si>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</si>
  <si>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</si>
  <si>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</si>
  <si>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</si>
  <si>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</si>
  <si>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</si>
  <si>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</si>
  <si>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</si>
  <si>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</si>
  <si>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</si>
  <si>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</si>
  <si>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</si>
  <si>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</si>
  <si>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</si>
  <si>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</si>
  <si>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</si>
  <si>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</si>
  <si>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</si>
  <si>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</si>
  <si>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</si>
  <si>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</si>
  <si>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</si>
  <si>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</si>
  <si>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</si>
  <si>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</si>
  <si>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</si>
  <si>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</si>
  <si>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</si>
  <si>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</si>
  <si>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</si>
  <si>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</si>
  <si>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</si>
  <si>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</si>
  <si>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</si>
  <si>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</si>
  <si>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</si>
  <si>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</si>
  <si>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</si>
  <si>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</si>
  <si>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</si>
  <si>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</si>
  <si>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</si>
  <si>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</si>
  <si>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</si>
  <si>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</si>
  <si>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</si>
  <si>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</si>
  <si>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</si>
  <si>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</si>
  <si>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</si>
  <si>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</si>
  <si>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</si>
  <si>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</si>
  <si>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</si>
  <si>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</si>
  <si>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</si>
  <si>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</si>
  <si>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</si>
  <si>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</si>
  <si>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</si>
  <si>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</si>
  <si>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</si>
  <si>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</si>
  <si>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</si>
  <si>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</si>
  <si>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</si>
  <si>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</si>
  <si>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</si>
  <si>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</si>
  <si>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</si>
  <si>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</si>
  <si>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</si>
  <si>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</si>
  <si>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</si>
  <si>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</si>
  <si>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</si>
  <si>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</si>
  <si>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</si>
  <si>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</si>
  <si>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</si>
  <si>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</si>
  <si>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</si>
  <si>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</si>
  <si>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</si>
  <si>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</si>
  <si>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</si>
  <si>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</si>
  <si>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</si>
  <si>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</si>
  <si>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</si>
  <si>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</si>
  <si>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</si>
  <si>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</si>
  <si>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</si>
  <si>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</si>
  <si>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</si>
  <si>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</si>
  <si>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</si>
  <si>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</si>
  <si>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</si>
  <si>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</si>
  <si>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</si>
  <si>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</si>
  <si>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</si>
  <si>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</si>
  <si>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</si>
  <si>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</si>
  <si>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</si>
  <si>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</si>
  <si>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</si>
  <si>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</si>
  <si>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</si>
  <si>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</si>
  <si>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</si>
  <si>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</si>
  <si>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</si>
  <si>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</si>
  <si>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</si>
  <si>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</si>
  <si>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</si>
  <si>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</si>
  <si>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</si>
  <si>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</si>
  <si>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</si>
  <si>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</si>
  <si>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</si>
  <si>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</si>
  <si>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</si>
  <si>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</si>
  <si>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</si>
  <si>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</si>
  <si>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</si>
  <si>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</si>
  <si>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</si>
  <si>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</si>
  <si>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</si>
  <si>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</si>
  <si>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</si>
  <si>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</si>
  <si>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</si>
  <si>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</si>
  <si>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</si>
  <si>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</si>
  <si>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</si>
  <si>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</si>
  <si>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</si>
  <si>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</si>
  <si>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</si>
  <si>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</si>
  <si>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</si>
  <si>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</si>
  <si>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</si>
  <si>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</si>
  <si>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</si>
  <si>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</si>
  <si>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</si>
  <si>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</si>
  <si>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</si>
  <si>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</si>
  <si>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</si>
  <si>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</si>
  <si>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</si>
  <si>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</si>
  <si>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</si>
  <si>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</si>
  <si>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</si>
  <si>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</si>
  <si>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</si>
  <si>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</si>
  <si>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</si>
  <si>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</si>
  <si>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</si>
  <si>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</si>
  <si>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</si>
  <si>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</si>
  <si>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</si>
  <si>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</si>
  <si>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</si>
  <si>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</si>
  <si>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</si>
  <si>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(4)</t>
  </si>
  <si>
    <t>NO</t>
  </si>
  <si>
    <t>PU</t>
  </si>
  <si>
    <t xml:space="preserve">RFD SEASAVA </t>
  </si>
  <si>
    <t>10 MT</t>
  </si>
  <si>
    <t>0,160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</si>
  <si>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</si>
  <si>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</si>
  <si>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</si>
  <si>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</si>
  <si>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R</t>
  </si>
  <si>
    <t>12,378</t>
  </si>
  <si>
    <t>9,718</t>
  </si>
  <si>
    <t>PORTUGAL</t>
  </si>
  <si>
    <t xml:space="preserve">inH2O [ X ] inHg [   ] mbar [] </t>
  </si>
  <si>
    <t>1010 Hpa</t>
  </si>
  <si>
    <t>16 Cº</t>
  </si>
  <si>
    <t>05/2027</t>
  </si>
  <si>
    <t>5017330300347</t>
  </si>
  <si>
    <t>18-05-2021</t>
  </si>
  <si>
    <t>ILHA DE SÃO MIGUEL</t>
  </si>
  <si>
    <t>JOSÉ MANUEL VENTURA PACHECO</t>
  </si>
  <si>
    <t>20W426090</t>
  </si>
  <si>
    <t>11/20</t>
  </si>
  <si>
    <t>AZ25-028</t>
  </si>
  <si>
    <t>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</si>
</sst>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20" fontId="12" fillId="4" borderId="12" xfId="1" applyNumberFormat="1" applyFont="1" applyFill="1" applyBorder="1" applyAlignment="1">
      <alignment horizontal="center" vertical="center"/>
    </xf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49" fontId="16" fillId="0" borderId="5" xfId="1" applyNumberFormat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13</xdr:col>
      <xdr:colOff>571500</xdr:colOff>
      <xdr:row>45</xdr:row>
      <xdr:rowOff>57150</xdr:rowOff>
    </xdr:from>
    <xdr:to>
      <xdr:col>19</xdr:col>
      <xdr:colOff>230395</xdr:colOff>
      <xdr:row>55</xdr:row>
      <xdr:rowOff>103559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982075" y="7305675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6" t="s">
        <v>75</v>
      </c>
      <c r="J3" s="216"/>
      <c r="K3" s="212" t="s">
        <v>326</v>
      </c>
      <c r="L3" s="21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7" t="s">
        <v>76</v>
      </c>
      <c r="J4" s="20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14" t="s">
        <v>67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6"/>
    </row>
    <row r="7" spans="1:13" x14ac:dyDescent="0.25">
      <c r="A7" s="207" t="s">
        <v>2</v>
      </c>
      <c r="B7" s="207"/>
      <c r="C7" s="207"/>
      <c r="D7" s="207"/>
      <c r="E7" s="207"/>
      <c r="F7" s="207"/>
      <c r="G7" s="207"/>
      <c r="H7" s="207"/>
      <c r="I7" s="207"/>
      <c r="J7" s="207"/>
      <c r="K7" s="207"/>
      <c r="L7" s="207"/>
      <c r="M7" s="4"/>
    </row>
    <row r="8" spans="1:13" ht="15" x14ac:dyDescent="0.25">
      <c r="A8" s="15"/>
      <c r="B8" s="215" t="s">
        <v>77</v>
      </c>
      <c r="C8" s="215"/>
      <c r="D8" s="215"/>
      <c r="E8" s="215"/>
      <c r="F8" s="215"/>
      <c r="G8" s="215"/>
      <c r="H8" s="215"/>
      <c r="I8" s="215"/>
      <c r="J8" s="215"/>
      <c r="K8" s="215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 xml:space="preserve">RFD SEASAVA </v>
      </c>
      <c r="D12" s="139"/>
      <c r="E12" s="217"/>
      <c r="F12" s="140"/>
      <c r="G12" s="138">
        <f>QUADRO!J7</f>
        <v>8</v>
      </c>
      <c r="H12" s="140"/>
      <c r="I12" s="200" t="str">
        <f>QUADRO!C7</f>
        <v>5017330300347</v>
      </c>
      <c r="J12" s="201"/>
      <c r="K12" s="211" t="str">
        <f>QUADRO!G79</f>
        <v>18-05-2021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304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207" t="s">
        <v>25</v>
      </c>
      <c r="D18" s="207"/>
      <c r="E18" s="207"/>
      <c r="F18" s="1"/>
      <c r="G18" s="207" t="s">
        <v>26</v>
      </c>
      <c r="H18" s="207"/>
      <c r="I18" s="207" t="s">
        <v>27</v>
      </c>
      <c r="J18" s="207"/>
      <c r="K18" s="207" t="s">
        <v>28</v>
      </c>
      <c r="L18" s="207"/>
      <c r="M18" s="1"/>
    </row>
    <row r="19" spans="1:13" ht="15" x14ac:dyDescent="0.25">
      <c r="A19" s="3"/>
      <c r="B19" s="3"/>
      <c r="C19" s="170" t="str">
        <f>QUADRO!I56</f>
        <v>20W426090</v>
      </c>
      <c r="D19" s="171"/>
      <c r="E19" s="171"/>
      <c r="F19" s="172"/>
      <c r="G19" s="208">
        <f>QUADRO!I62</f>
        <v>2.5</v>
      </c>
      <c r="H19" s="208"/>
      <c r="I19" s="208" t="str">
        <f>QUADRO!I64</f>
        <v>0,160</v>
      </c>
      <c r="J19" s="208"/>
      <c r="K19" s="209" t="str">
        <f>QUADRO!I66</f>
        <v>11/20</v>
      </c>
      <c r="L19" s="210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8"/>
      <c r="H20" s="208"/>
      <c r="I20" s="208"/>
      <c r="J20" s="208"/>
      <c r="K20" s="209"/>
      <c r="L20" s="210"/>
      <c r="M20" s="3"/>
    </row>
    <row r="21" spans="1:13" ht="15" x14ac:dyDescent="0.25">
      <c r="A21" s="3"/>
      <c r="B21" s="3"/>
      <c r="C21" s="174"/>
      <c r="D21" s="175"/>
      <c r="E21" s="175"/>
      <c r="F21" s="176"/>
      <c r="G21" s="206"/>
      <c r="H21" s="206"/>
      <c r="I21" s="206"/>
      <c r="J21" s="206"/>
      <c r="K21" s="206"/>
      <c r="L21" s="206"/>
      <c r="M21" s="3"/>
    </row>
    <row r="22" spans="1:13" ht="15" x14ac:dyDescent="0.25">
      <c r="A22" s="3"/>
      <c r="B22" s="3"/>
      <c r="C22" s="174"/>
      <c r="D22" s="175"/>
      <c r="E22" s="175"/>
      <c r="F22" s="176"/>
      <c r="G22" s="206"/>
      <c r="H22" s="206"/>
      <c r="I22" s="206"/>
      <c r="J22" s="206"/>
      <c r="K22" s="206"/>
      <c r="L22" s="206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207" t="s">
        <v>34</v>
      </c>
      <c r="H25" s="207"/>
      <c r="I25" s="207" t="s">
        <v>25</v>
      </c>
      <c r="J25" s="207"/>
      <c r="K25" s="207" t="s">
        <v>35</v>
      </c>
      <c r="L25" s="207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5" t="str">
        <f>QUADRO!F47</f>
        <v>R</v>
      </c>
      <c r="H26" s="169"/>
      <c r="I26" s="198" t="str">
        <f>QUADRO!C7</f>
        <v>5017330300347</v>
      </c>
      <c r="J26" s="199"/>
      <c r="K26" s="202">
        <f>QUADRO!F81+366</f>
        <v>46085</v>
      </c>
      <c r="L26" s="203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200"/>
      <c r="J27" s="201"/>
      <c r="K27" s="204"/>
      <c r="L27" s="205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6"/>
      <c r="H29" s="197"/>
      <c r="I29" s="196"/>
      <c r="J29" s="197"/>
      <c r="K29" s="196"/>
      <c r="L29" s="197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6"/>
      <c r="H31" s="197"/>
      <c r="I31" s="196"/>
      <c r="J31" s="197"/>
      <c r="K31" s="196"/>
      <c r="L31" s="197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6"/>
      <c r="J33" s="197"/>
      <c r="K33" s="196"/>
      <c r="L33" s="197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90" t="s">
        <v>301</v>
      </c>
      <c r="H34" s="191"/>
      <c r="I34" s="190" t="s">
        <v>300</v>
      </c>
      <c r="J34" s="191"/>
      <c r="K34" s="182">
        <f>QUADRO!J13</f>
        <v>0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2"/>
      <c r="H35" s="193"/>
      <c r="I35" s="192"/>
      <c r="J35" s="193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4"/>
      <c r="D37" s="194"/>
      <c r="E37" s="194"/>
      <c r="F37" s="19"/>
      <c r="G37" s="194"/>
      <c r="H37" s="194"/>
      <c r="I37" s="194"/>
      <c r="J37" s="194"/>
      <c r="K37" s="194"/>
      <c r="L37" s="194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303</v>
      </c>
      <c r="F40" s="148"/>
      <c r="G40" s="35" t="s">
        <v>52</v>
      </c>
      <c r="H40" s="166" t="s">
        <v>303</v>
      </c>
      <c r="I40" s="35" t="s">
        <v>73</v>
      </c>
      <c r="J40" s="166" t="s">
        <v>303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/>
      <c r="F42" s="169"/>
      <c r="G42" s="35" t="s">
        <v>54</v>
      </c>
      <c r="H42" s="167"/>
      <c r="I42" s="35" t="s">
        <v>54</v>
      </c>
      <c r="J42" s="167"/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45719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46084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/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207" t="s">
        <v>82</v>
      </c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9" t="s">
        <v>315</v>
      </c>
      <c r="E57" s="219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9"/>
      <c r="E58" s="219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20"/>
      <c r="E59" s="220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20"/>
      <c r="E60" s="220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9"/>
      <c r="E61" s="219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9"/>
      <c r="E62" s="219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21" t="str">
        <f>QUADRO!E7</f>
        <v>ILHA DE SÃO MIGUEL</v>
      </c>
      <c r="E63" s="221"/>
      <c r="F63" s="221"/>
      <c r="G63" s="22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21"/>
      <c r="E64" s="221"/>
      <c r="F64" s="221"/>
      <c r="G64" s="22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9" t="s">
        <v>323</v>
      </c>
      <c r="E65" s="219"/>
      <c r="F65" s="219"/>
      <c r="G65" s="219"/>
      <c r="H65" s="219"/>
      <c r="I65" s="219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9"/>
      <c r="E66" s="219"/>
      <c r="F66" s="219"/>
      <c r="G66" s="219"/>
      <c r="H66" s="219"/>
      <c r="I66" s="219"/>
      <c r="J66" s="207" t="s">
        <v>0</v>
      </c>
      <c r="K66" s="20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8" t="s">
        <v>310</v>
      </c>
      <c r="B69" s="218"/>
      <c r="C69" s="218"/>
      <c r="D69" s="218"/>
      <c r="E69" s="218"/>
      <c r="F69" s="218"/>
      <c r="G69" s="218"/>
      <c r="H69" s="218"/>
      <c r="I69" s="218"/>
      <c r="J69" s="218"/>
      <c r="K69" s="218"/>
      <c r="L69" s="218"/>
    </row>
    <row r="70" spans="1:13" x14ac:dyDescent="0.25">
      <c r="A70" s="218"/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</row>
    <row r="71" spans="1:13" x14ac:dyDescent="0.25">
      <c r="A71" s="218"/>
      <c r="B71" s="218"/>
      <c r="C71" s="218"/>
      <c r="D71" s="218"/>
      <c r="E71" s="218"/>
      <c r="F71" s="218"/>
      <c r="G71" s="218"/>
      <c r="H71" s="218"/>
      <c r="I71" s="218"/>
      <c r="J71" s="218"/>
      <c r="K71" s="218"/>
      <c r="L71" s="218"/>
    </row>
    <row r="72" spans="1:13" x14ac:dyDescent="0.25">
      <c r="A72" s="218"/>
      <c r="B72" s="218"/>
      <c r="C72" s="218"/>
      <c r="D72" s="218"/>
      <c r="E72" s="218"/>
      <c r="F72" s="218"/>
      <c r="G72" s="218"/>
      <c r="H72" s="218"/>
      <c r="I72" s="218"/>
      <c r="J72" s="218"/>
      <c r="K72" s="218"/>
      <c r="L72" s="218"/>
    </row>
    <row r="73" spans="1:13" x14ac:dyDescent="0.25">
      <c r="A73" s="218"/>
      <c r="B73" s="218"/>
      <c r="C73" s="218"/>
      <c r="D73" s="218"/>
      <c r="E73" s="218"/>
      <c r="F73" s="218"/>
      <c r="G73" s="218"/>
      <c r="H73" s="218"/>
      <c r="I73" s="218"/>
      <c r="J73" s="218"/>
      <c r="K73" s="218"/>
      <c r="L73" s="218"/>
    </row>
    <row r="74" spans="1:13" x14ac:dyDescent="0.25">
      <c r="A74" s="218"/>
      <c r="B74" s="218"/>
      <c r="C74" s="218"/>
      <c r="D74" s="218"/>
      <c r="E74" s="218"/>
      <c r="F74" s="218"/>
      <c r="G74" s="218"/>
      <c r="H74" s="218"/>
      <c r="I74" s="218"/>
      <c r="J74" s="218"/>
      <c r="K74" s="218"/>
      <c r="L74" s="218"/>
    </row>
    <row r="75" spans="1:13" x14ac:dyDescent="0.25">
      <c r="A75" s="218"/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</row>
    <row r="76" spans="1:13" x14ac:dyDescent="0.25">
      <c r="A76" s="218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</row>
    <row r="77" spans="1:13" x14ac:dyDescent="0.25">
      <c r="G77" s="215" t="s">
        <v>83</v>
      </c>
      <c r="H77" s="215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D75" sqref="D75:D7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3" t="s">
        <v>88</v>
      </c>
      <c r="E3" s="303"/>
      <c r="F3" s="303"/>
      <c r="G3" s="303"/>
      <c r="H3" s="304" t="s">
        <v>89</v>
      </c>
      <c r="I3" s="306"/>
      <c r="J3" s="307"/>
    </row>
    <row r="4" spans="2:15" s="58" customFormat="1" ht="23.4" customHeight="1" x14ac:dyDescent="0.4">
      <c r="B4" s="56" t="s">
        <v>90</v>
      </c>
      <c r="C4" s="57"/>
      <c r="D4" s="308" t="s">
        <v>91</v>
      </c>
      <c r="E4" s="308"/>
      <c r="F4" s="308"/>
      <c r="G4" s="308"/>
      <c r="H4" s="305"/>
      <c r="I4" s="307"/>
      <c r="J4" s="307"/>
    </row>
    <row r="5" spans="2:15" s="58" customFormat="1" ht="23.4" customHeight="1" x14ac:dyDescent="0.4">
      <c r="B5" s="56" t="s">
        <v>92</v>
      </c>
      <c r="C5" s="56"/>
      <c r="H5" s="309" t="s">
        <v>93</v>
      </c>
      <c r="I5" s="311" t="s">
        <v>326</v>
      </c>
      <c r="J5" s="312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0"/>
      <c r="I6" s="313"/>
      <c r="J6" s="313"/>
    </row>
    <row r="7" spans="2:15" ht="23.4" customHeight="1" x14ac:dyDescent="0.3">
      <c r="B7" s="59" t="s">
        <v>94</v>
      </c>
      <c r="C7" s="287" t="s">
        <v>320</v>
      </c>
      <c r="D7" s="59" t="s">
        <v>95</v>
      </c>
      <c r="E7" s="289" t="s">
        <v>322</v>
      </c>
      <c r="F7" s="290"/>
      <c r="G7" s="60" t="s">
        <v>96</v>
      </c>
      <c r="H7" s="289" t="s">
        <v>305</v>
      </c>
      <c r="I7" s="298"/>
      <c r="J7" s="301">
        <v>8</v>
      </c>
    </row>
    <row r="8" spans="2:15" ht="23.4" customHeight="1" x14ac:dyDescent="0.3">
      <c r="B8" s="61" t="s">
        <v>97</v>
      </c>
      <c r="C8" s="288"/>
      <c r="D8" s="61" t="s">
        <v>98</v>
      </c>
      <c r="E8" s="291"/>
      <c r="F8" s="292"/>
      <c r="G8" s="62" t="s">
        <v>99</v>
      </c>
      <c r="H8" s="299"/>
      <c r="I8" s="300"/>
      <c r="J8" s="302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319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319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327</v>
      </c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327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/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312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/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93" t="s">
        <v>234</v>
      </c>
      <c r="H56" s="294"/>
      <c r="I56" s="295" t="s">
        <v>324</v>
      </c>
      <c r="J56" s="296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86" t="s">
        <v>237</v>
      </c>
      <c r="H57" s="265"/>
      <c r="I57" s="261"/>
      <c r="J57" s="297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85" t="s">
        <v>240</v>
      </c>
      <c r="H58" s="259"/>
      <c r="I58" s="260" t="s">
        <v>313</v>
      </c>
      <c r="J58" s="262"/>
      <c r="M58" s="136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86" t="s">
        <v>243</v>
      </c>
      <c r="H59" s="265"/>
      <c r="I59" s="261"/>
      <c r="J59" s="263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85" t="s">
        <v>246</v>
      </c>
      <c r="H60" s="259"/>
      <c r="I60" s="260" t="s">
        <v>314</v>
      </c>
      <c r="J60" s="262"/>
      <c r="M60" s="136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86" t="s">
        <v>249</v>
      </c>
      <c r="H61" s="265"/>
      <c r="I61" s="261"/>
      <c r="J61" s="263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8" t="s">
        <v>252</v>
      </c>
      <c r="H62" s="259"/>
      <c r="I62" s="281">
        <v>2.5</v>
      </c>
      <c r="J62" s="283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4" t="s">
        <v>255</v>
      </c>
      <c r="H63" s="265"/>
      <c r="I63" s="282"/>
      <c r="J63" s="284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85" t="s">
        <v>258</v>
      </c>
      <c r="H64" s="259"/>
      <c r="I64" s="260" t="s">
        <v>307</v>
      </c>
      <c r="J64" s="262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86" t="s">
        <v>261</v>
      </c>
      <c r="H65" s="265"/>
      <c r="I65" s="261"/>
      <c r="J65" s="263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8" t="s">
        <v>264</v>
      </c>
      <c r="H66" s="259"/>
      <c r="I66" s="260" t="s">
        <v>325</v>
      </c>
      <c r="J66" s="262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4" t="s">
        <v>267</v>
      </c>
      <c r="H67" s="265"/>
      <c r="I67" s="261"/>
      <c r="J67" s="263"/>
    </row>
    <row r="68" spans="1:11" ht="5.25" customHeight="1" x14ac:dyDescent="0.3">
      <c r="B68" s="266"/>
      <c r="C68" s="267"/>
      <c r="D68" s="267"/>
      <c r="E68" s="267"/>
      <c r="F68" s="267"/>
      <c r="G68" s="267"/>
      <c r="H68" s="267"/>
      <c r="I68" s="267"/>
      <c r="J68" s="268"/>
    </row>
    <row r="69" spans="1:11" ht="21" x14ac:dyDescent="0.3">
      <c r="B69" s="269" t="s">
        <v>268</v>
      </c>
      <c r="C69" s="117" t="s">
        <v>269</v>
      </c>
      <c r="D69" s="273" t="s">
        <v>316</v>
      </c>
      <c r="E69" s="274"/>
      <c r="F69" s="118" t="s">
        <v>270</v>
      </c>
      <c r="G69" s="119" t="s">
        <v>271</v>
      </c>
      <c r="H69" s="277" t="s">
        <v>318</v>
      </c>
      <c r="I69" s="119" t="s">
        <v>272</v>
      </c>
      <c r="J69" s="279" t="s">
        <v>318</v>
      </c>
    </row>
    <row r="70" spans="1:11" ht="21.6" customHeight="1" x14ac:dyDescent="0.3">
      <c r="B70" s="270"/>
      <c r="C70" s="120" t="s">
        <v>273</v>
      </c>
      <c r="D70" s="275"/>
      <c r="E70" s="276"/>
      <c r="F70" s="121" t="s">
        <v>274</v>
      </c>
      <c r="G70" s="122" t="s">
        <v>275</v>
      </c>
      <c r="H70" s="278"/>
      <c r="I70" s="122" t="s">
        <v>276</v>
      </c>
      <c r="J70" s="280"/>
    </row>
    <row r="71" spans="1:11" ht="21" x14ac:dyDescent="0.3">
      <c r="B71" s="271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7" t="s">
        <v>317</v>
      </c>
      <c r="I71" s="119" t="s">
        <v>272</v>
      </c>
      <c r="J71" s="277" t="s">
        <v>317</v>
      </c>
    </row>
    <row r="72" spans="1:11" ht="42" customHeight="1" x14ac:dyDescent="0.3">
      <c r="B72" s="272"/>
      <c r="C72" s="137">
        <v>0.39930555555555558</v>
      </c>
      <c r="D72" s="137">
        <v>0.44097222222222227</v>
      </c>
      <c r="E72" s="125" t="s">
        <v>281</v>
      </c>
      <c r="F72" s="121" t="s">
        <v>282</v>
      </c>
      <c r="G72" s="126" t="s">
        <v>275</v>
      </c>
      <c r="H72" s="278"/>
      <c r="I72" s="126" t="s">
        <v>276</v>
      </c>
      <c r="J72" s="278"/>
    </row>
    <row r="73" spans="1:11" ht="21.6" customHeight="1" x14ac:dyDescent="0.3">
      <c r="B73" s="127" t="s">
        <v>283</v>
      </c>
      <c r="C73" s="242">
        <v>86.5</v>
      </c>
      <c r="D73" s="242">
        <v>86</v>
      </c>
      <c r="E73" s="244">
        <f>1-(D73/C73)</f>
        <v>5.7803468208093012E-3</v>
      </c>
      <c r="F73" s="246" t="s">
        <v>284</v>
      </c>
      <c r="G73" s="249"/>
      <c r="H73" s="250"/>
      <c r="I73" s="250"/>
      <c r="J73" s="251"/>
    </row>
    <row r="74" spans="1:11" ht="21.6" customHeight="1" x14ac:dyDescent="0.3">
      <c r="B74" s="128" t="s">
        <v>285</v>
      </c>
      <c r="C74" s="243"/>
      <c r="D74" s="243"/>
      <c r="E74" s="245"/>
      <c r="F74" s="247"/>
      <c r="G74" s="252"/>
      <c r="H74" s="253"/>
      <c r="I74" s="253"/>
      <c r="J74" s="254"/>
    </row>
    <row r="75" spans="1:11" ht="21.6" customHeight="1" x14ac:dyDescent="0.3">
      <c r="B75" s="127" t="s">
        <v>286</v>
      </c>
      <c r="C75" s="242">
        <v>92.7</v>
      </c>
      <c r="D75" s="242">
        <v>91.4</v>
      </c>
      <c r="E75" s="244">
        <f>1-(D75/C75)</f>
        <v>1.4023732470334394E-2</v>
      </c>
      <c r="F75" s="247"/>
      <c r="G75" s="252"/>
      <c r="H75" s="253"/>
      <c r="I75" s="253"/>
      <c r="J75" s="254"/>
    </row>
    <row r="76" spans="1:11" ht="21.6" customHeight="1" x14ac:dyDescent="0.3">
      <c r="B76" s="128" t="s">
        <v>287</v>
      </c>
      <c r="C76" s="243"/>
      <c r="D76" s="243"/>
      <c r="E76" s="245"/>
      <c r="F76" s="247"/>
      <c r="G76" s="252"/>
      <c r="H76" s="253"/>
      <c r="I76" s="253"/>
      <c r="J76" s="254"/>
    </row>
    <row r="77" spans="1:11" ht="21" customHeight="1" x14ac:dyDescent="0.3">
      <c r="B77" s="127" t="s">
        <v>288</v>
      </c>
      <c r="C77" s="230"/>
      <c r="D77" s="230"/>
      <c r="E77" s="232" t="s">
        <v>309</v>
      </c>
      <c r="F77" s="247"/>
      <c r="G77" s="252"/>
      <c r="H77" s="253"/>
      <c r="I77" s="253"/>
      <c r="J77" s="254"/>
    </row>
    <row r="78" spans="1:11" ht="21" customHeight="1" x14ac:dyDescent="0.3">
      <c r="B78" s="128" t="s">
        <v>289</v>
      </c>
      <c r="C78" s="231"/>
      <c r="D78" s="231"/>
      <c r="E78" s="233"/>
      <c r="F78" s="248"/>
      <c r="G78" s="255"/>
      <c r="H78" s="256"/>
      <c r="I78" s="256"/>
      <c r="J78" s="257"/>
    </row>
    <row r="79" spans="1:11" s="74" customFormat="1" ht="21.6" customHeight="1" x14ac:dyDescent="0.3">
      <c r="A79" s="55"/>
      <c r="B79" s="127" t="s">
        <v>290</v>
      </c>
      <c r="C79" s="230"/>
      <c r="D79" s="230"/>
      <c r="E79" s="232" t="s">
        <v>1</v>
      </c>
      <c r="F79" s="129" t="s">
        <v>291</v>
      </c>
      <c r="G79" s="234" t="s">
        <v>321</v>
      </c>
      <c r="H79" s="236"/>
      <c r="I79" s="237"/>
      <c r="J79" s="238"/>
      <c r="K79" s="55"/>
    </row>
    <row r="80" spans="1:11" ht="21" customHeight="1" x14ac:dyDescent="0.3">
      <c r="B80" s="128" t="s">
        <v>292</v>
      </c>
      <c r="C80" s="231"/>
      <c r="D80" s="231"/>
      <c r="E80" s="233"/>
      <c r="F80" s="130" t="s">
        <v>293</v>
      </c>
      <c r="G80" s="235"/>
      <c r="H80" s="239"/>
      <c r="I80" s="240"/>
      <c r="J80" s="241"/>
    </row>
    <row r="81" spans="1:11" ht="30" customHeight="1" x14ac:dyDescent="0.3">
      <c r="A81" s="74"/>
      <c r="B81" s="131" t="s">
        <v>294</v>
      </c>
      <c r="C81" s="224" t="s">
        <v>308</v>
      </c>
      <c r="D81" s="226"/>
      <c r="E81" s="132" t="s">
        <v>295</v>
      </c>
      <c r="F81" s="222">
        <v>45719</v>
      </c>
      <c r="G81" s="132" t="s">
        <v>296</v>
      </c>
      <c r="H81" s="224" t="s">
        <v>311</v>
      </c>
      <c r="I81" s="225"/>
      <c r="J81" s="226"/>
      <c r="K81" s="74"/>
    </row>
    <row r="82" spans="1:11" ht="28.2" customHeight="1" x14ac:dyDescent="0.3">
      <c r="B82" s="133" t="s">
        <v>297</v>
      </c>
      <c r="C82" s="227"/>
      <c r="D82" s="229"/>
      <c r="E82" s="134" t="s">
        <v>298</v>
      </c>
      <c r="F82" s="223"/>
      <c r="G82" s="134" t="s">
        <v>0</v>
      </c>
      <c r="H82" s="227"/>
      <c r="I82" s="228"/>
      <c r="J82" s="229"/>
    </row>
    <row r="83" spans="1:11" x14ac:dyDescent="0.3">
      <c r="F83" s="135"/>
    </row>
    <row r="84" spans="1:11" x14ac:dyDescent="0.3">
      <c r="F84" s="135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2025-03-05T11:21:30Z</cp:lastPrinted>
  <dcterms:created xsi:type="dcterms:W3CDTF">2001-08-01T17:12:05Z</dcterms:created>
  <dcterms:modified xsi:type="dcterms:W3CDTF">2025-03-05T11:21:33Z</dcterms:modified>
</cp:coreProperties>
</file>