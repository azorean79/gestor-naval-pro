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A392B330-9528-4743-9DF2-0A7DB22188B9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D63" i="9" l="1"/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<sst xmlns="http://schemas.openxmlformats.org/spreadsheetml/2006/main" count="358" uniqueCount="325">
  <si>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</si>
  <si>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</si>
  <si>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</si>
  <si>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</si>
  <si>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</si>
  <si>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</si>
  <si>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</si>
  <si>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</si>
  <si>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</si>
  <si>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</si>
  <si>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</si>
  <si>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</si>
  <si>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</si>
  <si>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</si>
  <si>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</si>
  <si>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</si>
  <si>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</si>
  <si>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</si>
  <si>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</si>
  <si>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</si>
  <si>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</si>
  <si>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</si>
  <si>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</si>
  <si>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</si>
  <si>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</si>
  <si>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</si>
  <si>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</si>
  <si>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</si>
  <si>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</si>
  <si>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</si>
  <si>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</si>
  <si>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</si>
  <si>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</si>
  <si>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</si>
  <si>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</si>
  <si>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</si>
  <si>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</si>
  <si>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</si>
  <si>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</si>
  <si>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</si>
  <si>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</si>
  <si>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</si>
  <si>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</si>
  <si>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</si>
  <si>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</si>
  <si>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</si>
  <si>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</si>
  <si>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</si>
  <si>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</si>
  <si>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</si>
  <si>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</si>
  <si>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</si>
  <si>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</si>
  <si>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</si>
  <si>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</si>
  <si>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</si>
  <si>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</si>
  <si>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</si>
  <si>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</si>
  <si>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</si>
  <si>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</si>
  <si>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</si>
  <si>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</si>
  <si>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</si>
  <si>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</si>
  <si>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</si>
  <si>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</si>
  <si>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</si>
  <si>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</si>
  <si>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</si>
  <si>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</si>
  <si>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</si>
  <si>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</si>
  <si>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</si>
  <si>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</si>
  <si>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</si>
  <si>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</si>
  <si>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</si>
  <si>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</si>
  <si>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</si>
  <si>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</si>
  <si>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</si>
  <si>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</si>
  <si>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</si>
  <si>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</si>
  <si>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</si>
  <si>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</si>
  <si>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</si>
  <si>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</si>
  <si>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</si>
  <si>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</si>
  <si>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</si>
  <si>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</si>
  <si>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</si>
  <si>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</si>
  <si>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</si>
  <si>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</si>
  <si>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</si>
  <si>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</si>
  <si>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</si>
  <si>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</si>
  <si>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</si>
  <si>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</si>
  <si>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</si>
  <si>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</si>
  <si>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</si>
  <si>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</si>
  <si>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</si>
  <si>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</si>
  <si>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</si>
  <si>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</si>
  <si>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</si>
  <si>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</si>
  <si>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</si>
  <si>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</si>
  <si>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</si>
  <si>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</si>
  <si>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</si>
  <si>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</si>
  <si>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</si>
  <si>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</si>
  <si>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</si>
  <si>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</si>
  <si>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</si>
  <si>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</si>
  <si>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</si>
  <si>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</si>
  <si>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</si>
  <si>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</si>
  <si>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</si>
  <si>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</si>
  <si>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</si>
  <si>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</si>
  <si>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</si>
  <si>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</si>
  <si>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</si>
  <si>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</si>
  <si>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</si>
  <si>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</si>
  <si>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</si>
  <si>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</si>
  <si>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</si>
  <si>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</si>
  <si>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</si>
  <si>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</si>
  <si>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</si>
  <si>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</si>
  <si>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</si>
  <si>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</si>
  <si>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</si>
  <si>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</si>
  <si>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</si>
  <si>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</si>
  <si>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</si>
  <si>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</si>
  <si>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</si>
  <si>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</si>
  <si>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</si>
  <si>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</si>
  <si>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</si>
  <si>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</si>
  <si>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</si>
  <si>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</si>
  <si>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</si>
  <si>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</si>
  <si>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</si>
  <si>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</si>
  <si>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</si>
  <si>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</si>
  <si>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</si>
  <si>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</si>
  <si>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</si>
  <si>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</si>
  <si>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</si>
  <si>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</si>
  <si>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</si>
  <si>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</si>
  <si>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</si>
  <si>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</si>
  <si>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</si>
  <si>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</si>
  <si>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</si>
  <si>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</si>
  <si>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</si>
  <si>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</si>
  <si>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</si>
  <si>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</si>
  <si>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</si>
  <si>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</si>
  <si>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</si>
  <si>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</si>
  <si>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</si>
  <si>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</si>
  <si>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</si>
  <si>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</si>
  <si>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</si>
  <si>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</si>
  <si>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</si>
  <si>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</si>
  <si>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</si>
  <si>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</si>
  <si>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</si>
  <si>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</si>
  <si>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</si>
  <si>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</si>
  <si>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</si>
  <si>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</si>
  <si>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</si>
  <si>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</si>
  <si>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</si>
  <si>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</si>
  <si>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</si>
  <si>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</si>
  <si>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</si>
  <si>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</si>
  <si>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</si>
  <si>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</si>
  <si>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</si>
  <si>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</si>
  <si>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</si>
  <si>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</si>
  <si>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</si>
  <si>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</si>
  <si>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</si>
  <si>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</si>
  <si>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</si>
  <si>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</si>
  <si>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</si>
  <si>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</si>
  <si>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</si>
  <si>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</si>
  <si>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</si>
  <si>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</si>
  <si>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</si>
  <si>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</si>
  <si>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</si>
  <si>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</si>
  <si>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</si>
  <si>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</si>
  <si>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</si>
  <si>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</si>
  <si>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</si>
  <si>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</si>
  <si>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</si>
  <si>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</si>
  <si>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</si>
  <si>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</si>
  <si>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</si>
  <si>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</si>
  <si>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</si>
  <si>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</si>
  <si>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</si>
  <si>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</si>
  <si>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</si>
  <si>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</si>
  <si>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</si>
  <si>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</si>
  <si>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</si>
  <si>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</si>
  <si>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</si>
  <si>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</si>
  <si>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</si>
  <si>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</si>
  <si>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</si>
  <si>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</si>
  <si>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</si>
  <si>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</si>
  <si>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</si>
  <si>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</si>
  <si>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</si>
  <si>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</si>
  <si>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</si>
  <si>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</si>
  <si>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</si>
  <si>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</si>
  <si>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</si>
  <si>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</si>
  <si>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</si>
  <si>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</si>
  <si>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</si>
  <si>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</si>
  <si>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</si>
  <si>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</si>
  <si>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</si>
  <si>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</si>
  <si>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</si>
  <si>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</si>
  <si>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</si>
  <si>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</si>
  <si>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</si>
  <si>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</si>
  <si>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</si>
  <si>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</si>
  <si>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</si>
  <si>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</si>
  <si>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</si>
  <si>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</si>
  <si>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</si>
  <si>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</si>
  <si>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</si>
  <si>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</si>
  <si>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</si>
  <si>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</si>
  <si>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</si>
  <si>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</si>
  <si>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</si>
  <si>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</si>
  <si>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</si>
  <si>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PVC</t>
  </si>
  <si>
    <t>7,050</t>
  </si>
  <si>
    <t>SEA-SAFE</t>
  </si>
  <si>
    <t>&lt; 24H</t>
  </si>
  <si>
    <t>17 Cº</t>
  </si>
  <si>
    <t>11,130</t>
  </si>
  <si>
    <t>08/18</t>
  </si>
  <si>
    <t>DK99S</t>
  </si>
  <si>
    <t>PLF-10-F0433</t>
  </si>
  <si>
    <t>02/2019</t>
  </si>
  <si>
    <t>0,200</t>
  </si>
  <si>
    <t>C65097</t>
  </si>
  <si>
    <t>1005 Hpa</t>
  </si>
  <si>
    <t>AZ25-117</t>
  </si>
  <si>
    <t>PORTUGAL</t>
  </si>
  <si>
    <t>OCEAN CAY</t>
  </si>
  <si>
    <t>DIOGO FALCÃO DA CRUZ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</si>
</sst>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opLeftCell="A41" workbookViewId="0">
      <selection activeCell="T61" sqref="T61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AZ25-117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SEA-SAFE</v>
      </c>
      <c r="D12" s="166"/>
      <c r="E12" s="236"/>
      <c r="F12" s="167"/>
      <c r="G12" s="165">
        <f>QUADRO!J7</f>
        <v>10</v>
      </c>
      <c r="H12" s="167"/>
      <c r="I12" s="211" t="str">
        <f>QUADRO!C7</f>
        <v>PLF-10-F0433</v>
      </c>
      <c r="J12" s="212"/>
      <c r="K12" s="230" t="str">
        <f>QUADRO!G79</f>
        <v>02/2019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308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C65097</v>
      </c>
      <c r="D19" s="198"/>
      <c r="E19" s="198"/>
      <c r="F19" s="199"/>
      <c r="G19" s="227">
        <f>QUADRO!I62</f>
        <v>3.2</v>
      </c>
      <c r="H19" s="227"/>
      <c r="I19" s="227" t="str">
        <f>QUADRO!I64</f>
        <v>0,200</v>
      </c>
      <c r="J19" s="227"/>
      <c r="K19" s="228" t="str">
        <f>QUADRO!I66</f>
        <v>08/18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&lt; 24H</v>
      </c>
      <c r="H26" s="196"/>
      <c r="I26" s="209" t="str">
        <f>QUADRO!C7</f>
        <v>PLF-10-F0433</v>
      </c>
      <c r="J26" s="210"/>
      <c r="K26" s="221">
        <f>QUADRO!F81+366+365+365</f>
        <v>46896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45800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46896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/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322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OCEAN CAY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324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305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E9" sqref="E9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321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316</v>
      </c>
      <c r="D7" s="80" t="s">
        <v>93</v>
      </c>
      <c r="E7" s="309" t="s">
        <v>323</v>
      </c>
      <c r="F7" s="310"/>
      <c r="G7" s="81" t="s">
        <v>94</v>
      </c>
      <c r="H7" s="309" t="s">
        <v>310</v>
      </c>
      <c r="I7" s="318"/>
      <c r="J7" s="321">
        <v>10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311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315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319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 t="s">
        <v>313</v>
      </c>
      <c r="J58" s="282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 t="s">
        <v>309</v>
      </c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  <c r="M61" s="164">
        <f>I60+I62+I64</f>
        <v>10.45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3.2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318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314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304</v>
      </c>
      <c r="E69" s="294"/>
      <c r="F69" s="144" t="s">
        <v>268</v>
      </c>
      <c r="G69" s="145" t="s">
        <v>269</v>
      </c>
      <c r="H69" s="297" t="s">
        <v>312</v>
      </c>
      <c r="I69" s="145" t="s">
        <v>270</v>
      </c>
      <c r="J69" s="299" t="s">
        <v>312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320</v>
      </c>
      <c r="I71" s="145" t="s">
        <v>270</v>
      </c>
      <c r="J71" s="297" t="s">
        <v>320</v>
      </c>
    </row>
    <row r="72" spans="1:11" ht="42" customHeight="1" x14ac:dyDescent="0.3">
      <c r="B72" s="292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144</v>
      </c>
      <c r="D73" s="262">
        <v>138</v>
      </c>
      <c r="E73" s="264">
        <f>1-(D73/C73)</f>
        <v>4.166666666666663E-2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160</v>
      </c>
      <c r="D75" s="262">
        <v>153</v>
      </c>
      <c r="E75" s="264">
        <f>1-(D75/C75)</f>
        <v>4.3749999999999956E-2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317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303</v>
      </c>
      <c r="D81" s="246"/>
      <c r="E81" s="159" t="s">
        <v>293</v>
      </c>
      <c r="F81" s="242">
        <v>45800</v>
      </c>
      <c r="G81" s="159" t="s">
        <v>294</v>
      </c>
      <c r="H81" s="244" t="s">
        <v>306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2025-05-27T14:42:59Z</cp:lastPrinted>
  <dcterms:created xsi:type="dcterms:W3CDTF">2001-08-01T17:12:05Z</dcterms:created>
  <dcterms:modified xsi:type="dcterms:W3CDTF">2025-05-27T14:43:02Z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