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4836F6D-2E14-49DC-BBCA-64FA15E2DC1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" i="9"/>
  <c r="K12" i="9"/>
  <c r="I12" i="9"/>
  <c r="C47" i="9" l="1"/>
  <c r="K47" i="9" s="1"/>
  <c r="G47" i="9"/>
  <c r="L42" i="9"/>
  <c r="G12" i="9"/>
  <c r="C12" i="9"/>
  <c r="I26" i="9"/>
  <c r="D63" i="9"/>
  <c r="K19" i="9"/>
  <c r="I19" i="9"/>
  <c r="G19" i="9"/>
  <c r="C19" i="9"/>
  <c r="G26" i="9"/>
  <c r="K34" i="9"/>
  <c r="E75" i="10"/>
  <c r="E73" i="10"/>
</calcChain>
</file>

<file path=xl/sharedStrings.xml><?xml version="1.0" encoding="utf-8"?>
<sst xmlns="http://schemas.openxmlformats.org/spreadsheetml/2006/main" count="374" uniqueCount="337">
  <si>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</si>
  <si>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</si>
  <si>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</si>
  <si>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</si>
  <si>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</si>
  <si>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</si>
  <si>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</si>
  <si>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</si>
  <si>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</si>
  <si>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</si>
  <si>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</si>
  <si>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</si>
  <si>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</si>
  <si>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</si>
  <si>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</si>
  <si>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</si>
  <si>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</si>
  <si>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</si>
  <si>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</si>
  <si>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</si>
  <si>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</si>
  <si>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</si>
  <si>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</si>
  <si>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</si>
  <si>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</si>
  <si>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</si>
  <si>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</si>
  <si>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</si>
  <si>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</si>
  <si>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</si>
  <si>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</si>
  <si>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</si>
  <si>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</si>
  <si>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</si>
  <si>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</si>
  <si>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</si>
  <si>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</si>
  <si>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</si>
  <si>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</si>
  <si>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</si>
  <si>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</si>
  <si>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</si>
  <si>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</si>
  <si>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</si>
  <si>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</si>
  <si>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</si>
  <si>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</si>
  <si>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</si>
  <si>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</si>
  <si>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</si>
  <si>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</si>
  <si>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</si>
  <si>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</si>
  <si>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</si>
  <si>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</si>
  <si>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</si>
  <si>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</si>
  <si>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</si>
  <si>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</si>
  <si>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</si>
  <si>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</si>
  <si>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</si>
  <si>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</si>
  <si>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</si>
  <si>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</si>
  <si>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</si>
  <si>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</si>
  <si>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</si>
  <si>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</si>
  <si>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</si>
  <si>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</si>
  <si>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</si>
  <si>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</si>
  <si>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</si>
  <si>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</si>
  <si>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</si>
  <si>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</si>
  <si>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</si>
  <si>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</si>
  <si>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</si>
  <si>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</si>
  <si>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</si>
  <si>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</si>
  <si>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</si>
  <si>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</si>
  <si>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</si>
  <si>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</si>
  <si>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</si>
  <si>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</si>
  <si>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</si>
  <si>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</si>
  <si>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</si>
  <si>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</si>
  <si>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</si>
  <si>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</si>
  <si>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</si>
  <si>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</si>
  <si>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</si>
  <si>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</si>
  <si>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</si>
  <si>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</si>
  <si>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</si>
  <si>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</si>
  <si>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</si>
  <si>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</si>
  <si>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</si>
  <si>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</si>
  <si>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</si>
  <si>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</si>
  <si>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</si>
  <si>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</si>
  <si>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</si>
  <si>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</si>
  <si>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</si>
  <si>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</si>
  <si>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</si>
  <si>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</si>
  <si>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</si>
  <si>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</si>
  <si>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</si>
  <si>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</si>
  <si>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</si>
  <si>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</si>
  <si>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</si>
  <si>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</si>
  <si>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</si>
  <si>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</si>
  <si>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</si>
  <si>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</si>
  <si>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</si>
  <si>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</si>
  <si>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</si>
  <si>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</si>
  <si>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</si>
  <si>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</si>
  <si>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</si>
  <si>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</si>
  <si>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</si>
  <si>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</si>
  <si>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</si>
  <si>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</si>
  <si>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</si>
  <si>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</si>
  <si>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</si>
  <si>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</si>
  <si>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</si>
  <si>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</si>
  <si>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</si>
  <si>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</si>
  <si>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</si>
  <si>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</si>
  <si>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</si>
  <si>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</si>
  <si>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</si>
  <si>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</si>
  <si>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</si>
  <si>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</si>
  <si>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</si>
  <si>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</si>
  <si>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</si>
  <si>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</si>
  <si>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</si>
  <si>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</si>
  <si>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</si>
  <si>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</si>
  <si>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</si>
  <si>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</si>
  <si>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</si>
  <si>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</si>
  <si>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</si>
  <si>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</si>
  <si>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</si>
  <si>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</si>
  <si>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</si>
  <si>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</si>
  <si>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</si>
  <si>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</si>
  <si>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</si>
  <si>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</si>
  <si>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</si>
  <si>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</si>
  <si>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</si>
  <si>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</si>
  <si>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</si>
  <si>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</si>
  <si>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</si>
  <si>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</si>
  <si>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</si>
  <si>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</si>
  <si>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</si>
  <si>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</si>
  <si>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</si>
  <si>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</si>
  <si>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</si>
  <si>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</si>
  <si>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</si>
  <si>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</si>
  <si>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</si>
  <si>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</si>
  <si>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</si>
  <si>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</si>
  <si>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</si>
  <si>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</si>
  <si>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</si>
  <si>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</si>
  <si>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</si>
  <si>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</si>
  <si>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</si>
  <si>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</si>
  <si>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</si>
  <si>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</si>
  <si>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</si>
  <si>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</si>
  <si>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</si>
  <si>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</si>
  <si>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</si>
  <si>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</si>
  <si>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</si>
  <si>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</si>
  <si>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</si>
  <si>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</si>
  <si>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</si>
  <si>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</si>
  <si>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</si>
  <si>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</si>
  <si>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</si>
  <si>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</si>
  <si>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</si>
  <si>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</si>
  <si>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</si>
  <si>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</si>
  <si>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</si>
  <si>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</si>
  <si>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</si>
  <si>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</si>
  <si>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</si>
  <si>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</si>
  <si>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</si>
  <si>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</si>
  <si>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</si>
  <si>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</si>
  <si>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</si>
  <si>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</si>
  <si>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</si>
  <si>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</si>
  <si>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</si>
  <si>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</si>
  <si>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</si>
  <si>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</si>
  <si>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</si>
  <si>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</si>
  <si>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</si>
  <si>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</si>
  <si>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</si>
  <si>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</si>
  <si>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</si>
  <si>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</si>
  <si>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</si>
  <si>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</si>
  <si>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</si>
  <si>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</si>
  <si>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</si>
  <si>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</si>
  <si>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</si>
  <si>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</si>
  <si>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</si>
  <si>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</si>
  <si>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</si>
  <si>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</si>
  <si>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</si>
  <si>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</si>
  <si>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</si>
  <si>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</si>
  <si>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</si>
  <si>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</si>
  <si>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</si>
  <si>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</si>
  <si>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</si>
  <si>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</si>
  <si>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</si>
  <si>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</si>
  <si>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</si>
  <si>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</si>
  <si>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</si>
  <si>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</si>
  <si>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</si>
  <si>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</si>
  <si>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</si>
  <si>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</si>
  <si>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</si>
  <si>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</si>
  <si>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</si>
  <si>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</si>
  <si>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</si>
  <si>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</si>
  <si>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</si>
  <si>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</si>
  <si>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</si>
  <si>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</si>
  <si>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</si>
  <si>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</si>
  <si>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</si>
  <si>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</si>
  <si>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</si>
  <si>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</si>
  <si>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</si>
  <si>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</si>
  <si>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</si>
  <si>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</si>
  <si>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</si>
  <si>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</si>
  <si>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</si>
  <si>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MIN</t>
  </si>
  <si>
    <t xml:space="preserve"> RFD SEASAVA PLUS</t>
  </si>
  <si>
    <t>0,060</t>
  </si>
  <si>
    <t>YES</t>
  </si>
  <si>
    <t>AZ21-098</t>
  </si>
  <si>
    <t>JULIO CORREA</t>
  </si>
  <si>
    <t>PORTUGAL</t>
  </si>
  <si>
    <t>m/outside</t>
  </si>
  <si>
    <t>08/2028</t>
  </si>
  <si>
    <t>(3)</t>
  </si>
  <si>
    <t>5017230300206</t>
  </si>
  <si>
    <t>RAINHA DA CALHETA</t>
  </si>
  <si>
    <t>AZ25-174</t>
  </si>
  <si>
    <t>10/2027</t>
  </si>
  <si>
    <t>09/2011</t>
  </si>
  <si>
    <t>MF64026</t>
  </si>
  <si>
    <t>9,784</t>
  </si>
  <si>
    <t>7,754</t>
  </si>
  <si>
    <t>09/11</t>
  </si>
  <si>
    <t>19,5 Cº</t>
  </si>
  <si>
    <t>1, Cº</t>
  </si>
  <si>
    <t>10 Hpa</t>
  </si>
  <si>
    <t>(1) sacom de vacuo 30202099</t>
  </si>
  <si>
    <t>07/25</t>
  </si>
  <si>
    <t>ANTONIO MANUEL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</si>
</sst>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2"/>
      <color rgb="FF00206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43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17" fontId="6" fillId="0" borderId="1" xfId="0" applyNumberFormat="1" applyFont="1" applyFill="1" applyBorder="1" applyAlignment="1" applyProtection="1">
      <alignment horizontal="left" vertical="center"/>
    </xf>
    <xf numFmtId="17" fontId="13" fillId="0" borderId="6" xfId="0" applyNumberFormat="1" applyFont="1" applyFill="1" applyBorder="1" applyAlignment="1" applyProtection="1">
      <alignment horizontal="left" vertical="top"/>
    </xf>
    <xf numFmtId="14" fontId="0" fillId="0" borderId="0" xfId="0" applyNumberForma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" fontId="29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49" fontId="30" fillId="0" borderId="5" xfId="0" applyNumberFormat="1" applyFont="1" applyFill="1" applyBorder="1" applyAlignment="1" applyProtection="1">
      <alignment horizontal="center" vertical="center"/>
      <protection locked="0"/>
    </xf>
    <xf numFmtId="49" fontId="30" fillId="0" borderId="6" xfId="0" applyNumberFormat="1" applyFont="1" applyFill="1" applyBorder="1" applyAlignment="1" applyProtection="1">
      <alignment horizontal="center" vertical="center"/>
      <protection locked="0"/>
    </xf>
    <xf numFmtId="1" fontId="30" fillId="0" borderId="5" xfId="0" applyNumberFormat="1" applyFont="1" applyFill="1" applyBorder="1" applyAlignment="1" applyProtection="1">
      <alignment horizontal="center" vertical="center"/>
      <protection locked="0"/>
    </xf>
    <xf numFmtId="1" fontId="30" fillId="0" borderId="6" xfId="0" applyNumberFormat="1" applyFont="1" applyFill="1" applyBorder="1" applyAlignment="1" applyProtection="1">
      <alignment horizontal="center" vertical="center"/>
      <protection locked="0"/>
    </xf>
    <xf numFmtId="49" fontId="30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1" xfId="0" applyNumberFormat="1" applyFont="1" applyFill="1" applyBorder="1" applyAlignment="1" applyProtection="1">
      <alignment horizontal="center" vertical="center"/>
      <protection locked="0"/>
    </xf>
    <xf numFmtId="1" fontId="30" fillId="0" borderId="2" xfId="0" applyNumberFormat="1" applyFont="1" applyFill="1" applyBorder="1" applyAlignment="1" applyProtection="1">
      <alignment horizontal="center" vertical="center"/>
      <protection locked="0"/>
    </xf>
    <xf numFmtId="1" fontId="30" fillId="0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</xdr:colOff>
      <xdr:row>57</xdr:row>
      <xdr:rowOff>0</xdr:rowOff>
    </xdr:from>
    <xdr:to>
      <xdr:col>11</xdr:col>
      <xdr:colOff>683544</xdr:colOff>
      <xdr:row>67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91744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topLeftCell="A39" workbookViewId="0">
      <selection activeCell="E44" sqref="E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21"/>
      <c r="B3" s="7"/>
      <c r="C3" s="7"/>
      <c r="D3" s="7"/>
      <c r="E3" s="7"/>
      <c r="F3" s="7"/>
      <c r="G3" s="7"/>
      <c r="H3" s="8"/>
      <c r="I3" s="185" t="s">
        <v>74</v>
      </c>
      <c r="J3" s="185"/>
      <c r="K3" s="182" t="str">
        <f>QUADRO!I5</f>
        <v>AZ25-174</v>
      </c>
      <c r="L3" s="182"/>
      <c r="M3" s="1"/>
    </row>
    <row r="4" spans="1:15" x14ac:dyDescent="0.25">
      <c r="A4" s="22"/>
      <c r="B4" s="7"/>
      <c r="C4" s="7"/>
      <c r="D4" s="7"/>
      <c r="E4" s="7"/>
      <c r="F4" s="7"/>
      <c r="G4" s="7"/>
      <c r="H4" s="8" t="s">
        <v>1</v>
      </c>
      <c r="I4" s="169" t="s">
        <v>75</v>
      </c>
      <c r="J4" s="169"/>
      <c r="K4" s="10"/>
      <c r="L4" s="10"/>
      <c r="M4" s="1"/>
    </row>
    <row r="5" spans="1:15" ht="17.25" customHeight="1" x14ac:dyDescent="0.25">
      <c r="A5" s="22"/>
      <c r="B5" s="7"/>
      <c r="C5" s="7"/>
      <c r="D5" s="7"/>
      <c r="E5" s="7"/>
      <c r="F5" s="7"/>
      <c r="G5" s="7"/>
      <c r="H5" s="8"/>
      <c r="I5" s="9" t="s">
        <v>316</v>
      </c>
      <c r="J5" s="10"/>
      <c r="K5" s="10"/>
      <c r="L5" s="10"/>
      <c r="M5" s="1"/>
    </row>
    <row r="6" spans="1:15" ht="21" customHeight="1" x14ac:dyDescent="0.25">
      <c r="A6" s="183" t="s">
        <v>67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6"/>
    </row>
    <row r="7" spans="1:15" x14ac:dyDescent="0.25">
      <c r="A7" s="169" t="s">
        <v>2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4"/>
    </row>
    <row r="8" spans="1:15" ht="15" x14ac:dyDescent="0.25">
      <c r="A8" s="23"/>
      <c r="B8" s="184" t="s">
        <v>76</v>
      </c>
      <c r="C8" s="184"/>
      <c r="D8" s="184"/>
      <c r="E8" s="184"/>
      <c r="F8" s="184"/>
      <c r="G8" s="184"/>
      <c r="H8" s="184"/>
      <c r="I8" s="184"/>
      <c r="J8" s="184"/>
      <c r="K8" s="184"/>
      <c r="L8" s="23"/>
      <c r="M8" s="2"/>
    </row>
    <row r="9" spans="1:15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5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  <c r="O10" s="33" t="s">
        <v>1</v>
      </c>
    </row>
    <row r="11" spans="1:15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5" s="16" customFormat="1" ht="15" x14ac:dyDescent="0.25">
      <c r="A12" s="11"/>
      <c r="B12" s="11"/>
      <c r="C12" s="177" t="str">
        <f>QUADRO!H7</f>
        <v xml:space="preserve"> RFD SEASAVA PLUS</v>
      </c>
      <c r="D12" s="186"/>
      <c r="E12" s="187"/>
      <c r="F12" s="178"/>
      <c r="G12" s="177">
        <f>QUADRO!J7</f>
        <v>6</v>
      </c>
      <c r="H12" s="178"/>
      <c r="I12" s="175" t="str">
        <f>QUADRO!C7</f>
        <v>5017230300206</v>
      </c>
      <c r="J12" s="176"/>
      <c r="K12" s="175" t="str">
        <f>QUADRO!G79</f>
        <v>09/2011</v>
      </c>
      <c r="L12" s="176"/>
      <c r="M12" s="18"/>
    </row>
    <row r="13" spans="1:15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165"/>
      <c r="K13" s="52" t="s">
        <v>15</v>
      </c>
      <c r="L13" s="53"/>
      <c r="M13" s="35"/>
    </row>
    <row r="14" spans="1:15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5" s="16" customFormat="1" x14ac:dyDescent="0.25">
      <c r="A15" s="9"/>
      <c r="B15" s="9"/>
      <c r="C15" s="180" t="s">
        <v>303</v>
      </c>
      <c r="D15" s="188"/>
      <c r="E15" s="188"/>
      <c r="F15" s="181"/>
      <c r="G15" s="26">
        <v>10</v>
      </c>
      <c r="H15" s="20" t="s">
        <v>19</v>
      </c>
      <c r="I15" s="26">
        <v>1</v>
      </c>
      <c r="J15" s="164" t="s">
        <v>319</v>
      </c>
      <c r="K15" s="180">
        <v>5</v>
      </c>
      <c r="L15" s="181"/>
      <c r="M15" s="19"/>
    </row>
    <row r="16" spans="1:15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9" t="s">
        <v>6</v>
      </c>
      <c r="D17" s="179"/>
      <c r="E17" s="179"/>
      <c r="F17" s="36"/>
      <c r="G17" s="179" t="s">
        <v>21</v>
      </c>
      <c r="H17" s="179"/>
      <c r="I17" s="179" t="s">
        <v>22</v>
      </c>
      <c r="J17" s="179"/>
      <c r="K17" s="179" t="s">
        <v>23</v>
      </c>
      <c r="L17" s="179"/>
      <c r="M17" s="37"/>
    </row>
    <row r="18" spans="1:13" s="65" customFormat="1" ht="9.9" customHeight="1" x14ac:dyDescent="0.25">
      <c r="A18" s="9" t="s">
        <v>24</v>
      </c>
      <c r="B18" s="8"/>
      <c r="C18" s="169" t="s">
        <v>25</v>
      </c>
      <c r="D18" s="169"/>
      <c r="E18" s="169"/>
      <c r="F18" s="8"/>
      <c r="G18" s="169" t="s">
        <v>26</v>
      </c>
      <c r="H18" s="169"/>
      <c r="I18" s="169" t="s">
        <v>27</v>
      </c>
      <c r="J18" s="169"/>
      <c r="K18" s="169" t="s">
        <v>28</v>
      </c>
      <c r="L18" s="169"/>
      <c r="M18" s="1"/>
    </row>
    <row r="19" spans="1:13" s="16" customFormat="1" ht="15" x14ac:dyDescent="0.25">
      <c r="A19" s="11"/>
      <c r="B19" s="11"/>
      <c r="C19" s="207" t="str">
        <f>QUADRO!I56</f>
        <v>MF64026</v>
      </c>
      <c r="D19" s="208"/>
      <c r="E19" s="208"/>
      <c r="F19" s="209"/>
      <c r="G19" s="190">
        <f>QUADRO!I62</f>
        <v>1.98</v>
      </c>
      <c r="H19" s="190"/>
      <c r="I19" s="190" t="str">
        <f>QUADRO!I64</f>
        <v>0,060</v>
      </c>
      <c r="J19" s="190"/>
      <c r="K19" s="191" t="str">
        <f>QUADRO!I66</f>
        <v>09/11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9" t="s">
        <v>30</v>
      </c>
      <c r="D24" s="179"/>
      <c r="E24" s="179"/>
      <c r="F24" s="36"/>
      <c r="G24" s="179" t="s">
        <v>31</v>
      </c>
      <c r="H24" s="179"/>
      <c r="I24" s="179" t="s">
        <v>32</v>
      </c>
      <c r="J24" s="179"/>
      <c r="K24" s="179" t="s">
        <v>33</v>
      </c>
      <c r="L24" s="179"/>
      <c r="M24" s="35"/>
    </row>
    <row r="25" spans="1:13" s="65" customFormat="1" ht="9.75" customHeight="1" x14ac:dyDescent="0.25">
      <c r="A25" s="9" t="s">
        <v>80</v>
      </c>
      <c r="B25" s="9"/>
      <c r="C25" s="170"/>
      <c r="D25" s="170"/>
      <c r="E25" s="170"/>
      <c r="F25" s="9"/>
      <c r="G25" s="169" t="s">
        <v>34</v>
      </c>
      <c r="H25" s="169"/>
      <c r="I25" s="169" t="s">
        <v>25</v>
      </c>
      <c r="J25" s="169"/>
      <c r="K25" s="169" t="s">
        <v>35</v>
      </c>
      <c r="L25" s="169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MIN</v>
      </c>
      <c r="H26" s="221"/>
      <c r="I26" s="201" t="str">
        <f>QUADRO!C7</f>
        <v>5017230300206</v>
      </c>
      <c r="J26" s="202"/>
      <c r="K26" s="203">
        <f>QUADRO!F81+365</f>
        <v>46233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7"/>
      <c r="H27" s="178"/>
      <c r="I27" s="175"/>
      <c r="J27" s="176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80"/>
      <c r="H33" s="181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335" t="s">
        <v>299</v>
      </c>
      <c r="H34" s="336"/>
      <c r="I34" s="335" t="s">
        <v>298</v>
      </c>
      <c r="J34" s="336"/>
      <c r="K34" s="337">
        <f>QUADRO!J13</f>
        <v>0</v>
      </c>
      <c r="L34" s="338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339"/>
      <c r="H35" s="340"/>
      <c r="I35" s="339"/>
      <c r="J35" s="340"/>
      <c r="K35" s="341"/>
      <c r="L35" s="34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9" t="s">
        <v>47</v>
      </c>
      <c r="D38" s="179"/>
      <c r="E38" s="179"/>
      <c r="F38" s="36"/>
      <c r="G38" s="179" t="s">
        <v>48</v>
      </c>
      <c r="H38" s="179"/>
      <c r="I38" s="179" t="s">
        <v>49</v>
      </c>
      <c r="J38" s="179"/>
      <c r="K38" s="179" t="s">
        <v>50</v>
      </c>
      <c r="L38" s="179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315</v>
      </c>
      <c r="F40" s="218"/>
      <c r="G40" s="52" t="s">
        <v>52</v>
      </c>
      <c r="H40" s="194" t="s">
        <v>302</v>
      </c>
      <c r="I40" s="52" t="s">
        <v>72</v>
      </c>
      <c r="J40" s="194" t="s">
        <v>315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8"/>
      <c r="F41" s="181"/>
      <c r="G41" s="69" t="s">
        <v>53</v>
      </c>
      <c r="H41" s="181"/>
      <c r="I41" s="69" t="s">
        <v>53</v>
      </c>
      <c r="J41" s="181"/>
      <c r="K41" s="69" t="s">
        <v>53</v>
      </c>
      <c r="L41" s="181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 t="s">
        <v>335</v>
      </c>
      <c r="F42" s="221"/>
      <c r="G42" s="52" t="s">
        <v>54</v>
      </c>
      <c r="H42" s="217"/>
      <c r="I42" s="52" t="s">
        <v>54</v>
      </c>
      <c r="J42" s="217" t="s">
        <v>335</v>
      </c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6"/>
      <c r="F43" s="178"/>
      <c r="G43" s="69" t="s">
        <v>55</v>
      </c>
      <c r="H43" s="178"/>
      <c r="I43" s="69" t="s">
        <v>55</v>
      </c>
      <c r="J43" s="178"/>
      <c r="K43" s="69" t="s">
        <v>55</v>
      </c>
      <c r="L43" s="178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45868</v>
      </c>
      <c r="D47" s="230"/>
      <c r="E47" s="230"/>
      <c r="F47" s="231"/>
      <c r="G47" s="177" t="str">
        <f>QUADRO!C81</f>
        <v xml:space="preserve">OREY TÉCNICA </v>
      </c>
      <c r="H47" s="186"/>
      <c r="I47" s="186"/>
      <c r="J47" s="178"/>
      <c r="K47" s="224">
        <f>C47+365</f>
        <v>46233</v>
      </c>
      <c r="L47" s="1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4" t="s">
        <v>77</v>
      </c>
      <c r="D49" s="215"/>
      <c r="E49" s="215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6" t="s">
        <v>78</v>
      </c>
      <c r="D50" s="174"/>
      <c r="E50" s="174"/>
      <c r="F50" s="232"/>
      <c r="G50" s="233"/>
      <c r="H50" s="233"/>
      <c r="I50" s="233"/>
      <c r="J50" s="233"/>
      <c r="K50" s="233"/>
      <c r="L50" s="234"/>
      <c r="M50" s="4"/>
    </row>
    <row r="51" spans="1:13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3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38" t="s">
        <v>79</v>
      </c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3" ht="15" x14ac:dyDescent="0.25">
      <c r="A55" s="12"/>
      <c r="B55" s="169" t="s">
        <v>81</v>
      </c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4" t="s">
        <v>85</v>
      </c>
      <c r="B57" s="174"/>
      <c r="C57" s="30"/>
      <c r="D57" s="171" t="s">
        <v>318</v>
      </c>
      <c r="E57" s="171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70" t="s">
        <v>64</v>
      </c>
      <c r="B58" s="170"/>
      <c r="C58" s="30"/>
      <c r="D58" s="171"/>
      <c r="E58" s="171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4" t="s">
        <v>65</v>
      </c>
      <c r="B59" s="174"/>
      <c r="C59" s="58" t="s">
        <v>1</v>
      </c>
      <c r="D59" s="172"/>
      <c r="E59" s="172"/>
      <c r="F59" s="64"/>
      <c r="G59" s="42"/>
      <c r="H59" s="40"/>
      <c r="I59" s="240" t="s">
        <v>73</v>
      </c>
      <c r="J59" s="240"/>
      <c r="K59" s="240"/>
      <c r="L59" s="240"/>
      <c r="M59" s="32"/>
    </row>
    <row r="60" spans="1:13" ht="9.75" customHeight="1" x14ac:dyDescent="0.25">
      <c r="A60" s="241"/>
      <c r="B60" s="241"/>
      <c r="C60" s="58"/>
      <c r="D60" s="172"/>
      <c r="E60" s="172"/>
      <c r="F60" s="64"/>
      <c r="G60" s="15"/>
      <c r="H60" s="11"/>
      <c r="I60" s="223" t="s">
        <v>83</v>
      </c>
      <c r="J60" s="223"/>
      <c r="K60" s="223"/>
      <c r="L60" s="223"/>
      <c r="M60" s="2"/>
    </row>
    <row r="61" spans="1:13" s="33" customFormat="1" ht="14.1" customHeight="1" x14ac:dyDescent="0.25">
      <c r="A61" s="57" t="s">
        <v>86</v>
      </c>
      <c r="B61" s="57"/>
      <c r="C61" s="30"/>
      <c r="D61" s="171"/>
      <c r="E61" s="171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70" t="s">
        <v>66</v>
      </c>
      <c r="B62" s="170"/>
      <c r="C62" s="30"/>
      <c r="D62" s="171"/>
      <c r="E62" s="171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4" t="s">
        <v>71</v>
      </c>
      <c r="B63" s="174"/>
      <c r="C63" s="30"/>
      <c r="D63" s="173" t="str">
        <f>QUADRO!E7</f>
        <v>RAINHA DA CALHETA</v>
      </c>
      <c r="E63" s="173"/>
      <c r="F63" s="173"/>
      <c r="G63" s="17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70" t="s">
        <v>70</v>
      </c>
      <c r="B64" s="170"/>
      <c r="C64" s="30"/>
      <c r="D64" s="173"/>
      <c r="E64" s="173"/>
      <c r="F64" s="173"/>
      <c r="G64" s="17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4" t="s">
        <v>68</v>
      </c>
      <c r="B65" s="174"/>
      <c r="C65" s="30"/>
      <c r="D65" s="171" t="s">
        <v>336</v>
      </c>
      <c r="E65" s="171"/>
      <c r="F65" s="171"/>
      <c r="G65" s="171"/>
      <c r="H65" s="171"/>
      <c r="I65" s="171"/>
      <c r="J65" s="239"/>
      <c r="K65" s="239"/>
      <c r="L65" s="31"/>
      <c r="M65" s="32"/>
    </row>
    <row r="66" spans="1:13" s="72" customFormat="1" ht="9.9" customHeight="1" x14ac:dyDescent="0.25">
      <c r="A66" s="170" t="s">
        <v>69</v>
      </c>
      <c r="B66" s="170"/>
      <c r="C66" s="30"/>
      <c r="D66" s="171"/>
      <c r="E66" s="171"/>
      <c r="F66" s="171"/>
      <c r="G66" s="171"/>
      <c r="H66" s="171"/>
      <c r="I66" s="171"/>
      <c r="J66" s="169" t="s">
        <v>0</v>
      </c>
      <c r="K66" s="169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67" t="s">
        <v>308</v>
      </c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</row>
    <row r="70" spans="1:13" x14ac:dyDescent="0.25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</row>
    <row r="71" spans="1:13" x14ac:dyDescent="0.25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</row>
    <row r="72" spans="1:13" x14ac:dyDescent="0.25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</row>
    <row r="73" spans="1:13" x14ac:dyDescent="0.25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</row>
    <row r="74" spans="1:13" x14ac:dyDescent="0.25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</row>
    <row r="75" spans="1:13" x14ac:dyDescent="0.2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</row>
    <row r="76" spans="1:13" x14ac:dyDescent="0.25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</row>
    <row r="77" spans="1:13" x14ac:dyDescent="0.25">
      <c r="G77" s="168" t="s">
        <v>82</v>
      </c>
      <c r="H77" s="168"/>
    </row>
    <row r="81" spans="6:6" x14ac:dyDescent="0.25">
      <c r="F81" s="166">
        <v>44362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53" zoomScale="48" zoomScaleNormal="48" workbookViewId="0">
      <selection activeCell="E44" sqref="E44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87</v>
      </c>
      <c r="E3" s="242"/>
      <c r="F3" s="242"/>
      <c r="G3" s="242"/>
      <c r="H3" s="243" t="s">
        <v>88</v>
      </c>
      <c r="I3" s="245"/>
      <c r="J3" s="246"/>
    </row>
    <row r="4" spans="2:15" s="79" customFormat="1" ht="23.4" customHeight="1" x14ac:dyDescent="0.4">
      <c r="B4" s="77" t="s">
        <v>89</v>
      </c>
      <c r="C4" s="78"/>
      <c r="D4" s="247" t="s">
        <v>90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91</v>
      </c>
      <c r="C5" s="77"/>
      <c r="H5" s="249" t="s">
        <v>92</v>
      </c>
      <c r="I5" s="251" t="s">
        <v>324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93</v>
      </c>
      <c r="C7" s="254" t="s">
        <v>322</v>
      </c>
      <c r="D7" s="80" t="s">
        <v>94</v>
      </c>
      <c r="E7" s="256" t="s">
        <v>323</v>
      </c>
      <c r="F7" s="257"/>
      <c r="G7" s="81" t="s">
        <v>95</v>
      </c>
      <c r="H7" s="256" t="s">
        <v>313</v>
      </c>
      <c r="I7" s="268"/>
      <c r="J7" s="271">
        <v>6</v>
      </c>
    </row>
    <row r="8" spans="2:15" ht="23.4" customHeight="1" x14ac:dyDescent="0.3">
      <c r="B8" s="82" t="s">
        <v>96</v>
      </c>
      <c r="C8" s="255"/>
      <c r="D8" s="82" t="s">
        <v>97</v>
      </c>
      <c r="E8" s="258"/>
      <c r="F8" s="259"/>
      <c r="G8" s="83" t="s">
        <v>98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99</v>
      </c>
      <c r="C10" s="91"/>
      <c r="D10" s="80" t="s">
        <v>100</v>
      </c>
      <c r="E10" s="92"/>
      <c r="F10" s="93"/>
      <c r="G10" s="80" t="s">
        <v>101</v>
      </c>
      <c r="H10" s="92"/>
      <c r="I10" s="94"/>
      <c r="J10" s="95"/>
    </row>
    <row r="11" spans="2:15" ht="23.4" customHeight="1" x14ac:dyDescent="0.4">
      <c r="B11" s="97" t="s">
        <v>102</v>
      </c>
      <c r="C11" s="98"/>
      <c r="D11" s="84" t="s">
        <v>103</v>
      </c>
      <c r="E11" s="86"/>
      <c r="F11" s="99"/>
      <c r="G11" s="84" t="s">
        <v>104</v>
      </c>
      <c r="H11" s="86"/>
      <c r="I11" s="100"/>
      <c r="J11" s="101"/>
    </row>
    <row r="12" spans="2:15" s="96" customFormat="1" ht="23.4" customHeight="1" x14ac:dyDescent="0.4">
      <c r="B12" s="80" t="s">
        <v>105</v>
      </c>
      <c r="C12" s="93"/>
      <c r="D12" s="80" t="s">
        <v>106</v>
      </c>
      <c r="E12" s="92"/>
      <c r="F12" s="93"/>
      <c r="G12" s="80" t="s">
        <v>107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108</v>
      </c>
      <c r="C13" s="103"/>
      <c r="D13" s="82" t="s">
        <v>109</v>
      </c>
      <c r="E13" s="104"/>
      <c r="F13" s="103"/>
      <c r="G13" s="82" t="s">
        <v>110</v>
      </c>
      <c r="H13" s="104"/>
      <c r="I13" s="105"/>
      <c r="J13" s="106"/>
    </row>
    <row r="14" spans="2:15" s="96" customFormat="1" ht="23.4" customHeight="1" x14ac:dyDescent="0.4">
      <c r="B14" s="107" t="s">
        <v>111</v>
      </c>
      <c r="C14" s="100"/>
      <c r="D14" s="107" t="s">
        <v>112</v>
      </c>
      <c r="E14" s="108"/>
      <c r="F14" s="99"/>
      <c r="G14" s="107" t="s">
        <v>113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114</v>
      </c>
      <c r="C15" s="100"/>
      <c r="D15" s="84" t="s">
        <v>115</v>
      </c>
      <c r="E15" s="86"/>
      <c r="F15" s="99"/>
      <c r="G15" s="82" t="s">
        <v>116</v>
      </c>
      <c r="H15" s="104"/>
      <c r="I15" s="105" t="s">
        <v>300</v>
      </c>
      <c r="J15" s="106" t="s">
        <v>325</v>
      </c>
    </row>
    <row r="16" spans="2:15" s="96" customFormat="1" ht="23.4" customHeight="1" x14ac:dyDescent="0.4">
      <c r="B16" s="80" t="s">
        <v>117</v>
      </c>
      <c r="C16" s="93"/>
      <c r="D16" s="80" t="s">
        <v>118</v>
      </c>
      <c r="E16" s="92"/>
      <c r="F16" s="93"/>
      <c r="G16" s="80" t="s">
        <v>119</v>
      </c>
      <c r="H16" s="92"/>
      <c r="I16" s="94"/>
      <c r="J16" s="95"/>
    </row>
    <row r="17" spans="2:10" ht="23.4" customHeight="1" x14ac:dyDescent="0.4">
      <c r="B17" s="82" t="s">
        <v>120</v>
      </c>
      <c r="C17" s="103"/>
      <c r="D17" s="82" t="s">
        <v>121</v>
      </c>
      <c r="E17" s="104"/>
      <c r="F17" s="103"/>
      <c r="G17" s="82" t="s">
        <v>122</v>
      </c>
      <c r="H17" s="104"/>
      <c r="I17" s="105"/>
      <c r="J17" s="106"/>
    </row>
    <row r="18" spans="2:10" s="96" customFormat="1" ht="23.4" customHeight="1" x14ac:dyDescent="0.4">
      <c r="B18" s="107" t="s">
        <v>123</v>
      </c>
      <c r="C18" s="100"/>
      <c r="D18" s="107" t="s">
        <v>124</v>
      </c>
      <c r="E18" s="108"/>
      <c r="F18" s="99"/>
      <c r="G18" s="80" t="s">
        <v>125</v>
      </c>
      <c r="H18" s="92"/>
      <c r="I18" s="94"/>
      <c r="J18" s="110"/>
    </row>
    <row r="19" spans="2:10" ht="23.4" customHeight="1" x14ac:dyDescent="0.4">
      <c r="B19" s="84" t="s">
        <v>126</v>
      </c>
      <c r="C19" s="100"/>
      <c r="D19" s="84" t="s">
        <v>127</v>
      </c>
      <c r="E19" s="86"/>
      <c r="F19" s="99"/>
      <c r="G19" s="82" t="s">
        <v>128</v>
      </c>
      <c r="H19" s="104"/>
      <c r="I19" s="105" t="s">
        <v>321</v>
      </c>
      <c r="J19" s="106" t="s">
        <v>320</v>
      </c>
    </row>
    <row r="20" spans="2:10" s="96" customFormat="1" ht="23.4" customHeight="1" x14ac:dyDescent="0.4">
      <c r="B20" s="80" t="s">
        <v>106</v>
      </c>
      <c r="C20" s="93"/>
      <c r="D20" s="80" t="s">
        <v>129</v>
      </c>
      <c r="E20" s="92"/>
      <c r="F20" s="93"/>
      <c r="G20" s="80" t="s">
        <v>130</v>
      </c>
      <c r="H20" s="92"/>
      <c r="I20" s="94"/>
      <c r="J20" s="95"/>
    </row>
    <row r="21" spans="2:10" ht="23.4" customHeight="1" x14ac:dyDescent="0.4">
      <c r="B21" s="82" t="s">
        <v>131</v>
      </c>
      <c r="C21" s="103"/>
      <c r="D21" s="82" t="s">
        <v>132</v>
      </c>
      <c r="E21" s="104"/>
      <c r="F21" s="103"/>
      <c r="G21" s="82" t="s">
        <v>133</v>
      </c>
      <c r="H21" s="104"/>
      <c r="I21" s="105"/>
      <c r="J21" s="106"/>
    </row>
    <row r="22" spans="2:10" s="96" customFormat="1" ht="23.4" customHeight="1" x14ac:dyDescent="0.4">
      <c r="B22" s="107" t="s">
        <v>134</v>
      </c>
      <c r="C22" s="100"/>
      <c r="D22" s="107" t="s">
        <v>135</v>
      </c>
      <c r="E22" s="108"/>
      <c r="F22" s="99"/>
      <c r="G22" s="108" t="s">
        <v>136</v>
      </c>
      <c r="H22" s="108"/>
      <c r="I22" s="100"/>
      <c r="J22" s="109"/>
    </row>
    <row r="23" spans="2:10" ht="23.4" customHeight="1" x14ac:dyDescent="0.4">
      <c r="B23" s="111" t="s">
        <v>137</v>
      </c>
      <c r="C23" s="100"/>
      <c r="D23" s="84" t="s">
        <v>138</v>
      </c>
      <c r="E23" s="86"/>
      <c r="F23" s="106"/>
      <c r="G23" s="104" t="s">
        <v>139</v>
      </c>
      <c r="H23" s="104"/>
      <c r="I23" s="112"/>
      <c r="J23" s="113"/>
    </row>
    <row r="24" spans="2:10" s="96" customFormat="1" ht="23.4" customHeight="1" x14ac:dyDescent="0.4">
      <c r="B24" s="80" t="s">
        <v>140</v>
      </c>
      <c r="C24" s="93"/>
      <c r="D24" s="80" t="s">
        <v>141</v>
      </c>
      <c r="E24" s="92"/>
      <c r="F24" s="93"/>
      <c r="G24" s="80" t="s">
        <v>142</v>
      </c>
      <c r="H24" s="92"/>
      <c r="I24" s="94"/>
      <c r="J24" s="95"/>
    </row>
    <row r="25" spans="2:10" ht="23.4" customHeight="1" x14ac:dyDescent="0.4">
      <c r="B25" s="82" t="s">
        <v>143</v>
      </c>
      <c r="C25" s="103"/>
      <c r="D25" s="82" t="s">
        <v>144</v>
      </c>
      <c r="E25" s="104"/>
      <c r="F25" s="106"/>
      <c r="G25" s="82" t="s">
        <v>145</v>
      </c>
      <c r="H25" s="104"/>
      <c r="I25" s="105"/>
      <c r="J25" s="106" t="s">
        <v>301</v>
      </c>
    </row>
    <row r="26" spans="2:10" s="96" customFormat="1" ht="23.4" customHeight="1" x14ac:dyDescent="0.4">
      <c r="B26" s="80" t="s">
        <v>146</v>
      </c>
      <c r="C26" s="93"/>
      <c r="D26" s="108" t="s">
        <v>147</v>
      </c>
      <c r="E26" s="108"/>
      <c r="F26" s="99"/>
      <c r="G26" s="107" t="s">
        <v>148</v>
      </c>
      <c r="H26" s="108"/>
      <c r="I26" s="100"/>
      <c r="J26" s="109"/>
    </row>
    <row r="27" spans="2:10" ht="23.4" customHeight="1" x14ac:dyDescent="0.4">
      <c r="B27" s="82" t="s">
        <v>149</v>
      </c>
      <c r="C27" s="103"/>
      <c r="D27" s="86" t="s">
        <v>150</v>
      </c>
      <c r="E27" s="86"/>
      <c r="F27" s="99"/>
      <c r="G27" s="82" t="s">
        <v>151</v>
      </c>
      <c r="H27" s="104"/>
      <c r="I27" s="112"/>
      <c r="J27" s="114"/>
    </row>
    <row r="28" spans="2:10" s="96" customFormat="1" ht="23.4" customHeight="1" x14ac:dyDescent="0.4">
      <c r="B28" s="80" t="s">
        <v>152</v>
      </c>
      <c r="C28" s="93"/>
      <c r="D28" s="92" t="s">
        <v>153</v>
      </c>
      <c r="E28" s="92"/>
      <c r="F28" s="93"/>
      <c r="G28" s="80" t="s">
        <v>154</v>
      </c>
      <c r="H28" s="92"/>
      <c r="I28" s="94"/>
      <c r="J28" s="95"/>
    </row>
    <row r="29" spans="2:10" ht="23.4" customHeight="1" x14ac:dyDescent="0.4">
      <c r="B29" s="82" t="s">
        <v>155</v>
      </c>
      <c r="C29" s="106"/>
      <c r="D29" s="104" t="s">
        <v>156</v>
      </c>
      <c r="E29" s="104"/>
      <c r="F29" s="103"/>
      <c r="G29" s="82" t="s">
        <v>157</v>
      </c>
      <c r="H29" s="104"/>
      <c r="I29" s="112"/>
      <c r="J29" s="114"/>
    </row>
    <row r="30" spans="2:10" s="96" customFormat="1" ht="23.4" customHeight="1" x14ac:dyDescent="0.4">
      <c r="B30" s="80" t="s">
        <v>158</v>
      </c>
      <c r="C30" s="93"/>
      <c r="D30" s="107" t="s">
        <v>159</v>
      </c>
      <c r="E30" s="108"/>
      <c r="F30" s="99"/>
      <c r="G30" s="80" t="s">
        <v>160</v>
      </c>
      <c r="H30" s="92"/>
      <c r="I30" s="94"/>
      <c r="J30" s="95"/>
    </row>
    <row r="31" spans="2:10" ht="23.4" customHeight="1" x14ac:dyDescent="0.4">
      <c r="B31" s="82" t="s">
        <v>161</v>
      </c>
      <c r="C31" s="106"/>
      <c r="D31" s="84" t="s">
        <v>162</v>
      </c>
      <c r="E31" s="86"/>
      <c r="F31" s="99"/>
      <c r="G31" s="82" t="s">
        <v>163</v>
      </c>
      <c r="H31" s="104"/>
      <c r="I31" s="112"/>
      <c r="J31" s="114"/>
    </row>
    <row r="32" spans="2:10" s="96" customFormat="1" ht="23.4" customHeight="1" x14ac:dyDescent="0.4">
      <c r="B32" s="107" t="s">
        <v>164</v>
      </c>
      <c r="C32" s="99"/>
      <c r="D32" s="80" t="s">
        <v>165</v>
      </c>
      <c r="E32" s="92"/>
      <c r="F32" s="93"/>
      <c r="G32" s="80" t="s">
        <v>166</v>
      </c>
      <c r="H32" s="92"/>
      <c r="I32" s="94"/>
      <c r="J32" s="95"/>
    </row>
    <row r="33" spans="2:10" ht="23.4" customHeight="1" x14ac:dyDescent="0.4">
      <c r="B33" s="82" t="s">
        <v>167</v>
      </c>
      <c r="C33" s="103"/>
      <c r="D33" s="82" t="s">
        <v>168</v>
      </c>
      <c r="E33" s="104"/>
      <c r="F33" s="103"/>
      <c r="G33" s="82" t="s">
        <v>169</v>
      </c>
      <c r="H33" s="104"/>
      <c r="I33" s="112"/>
      <c r="J33" s="114"/>
    </row>
    <row r="34" spans="2:10" s="96" customFormat="1" ht="23.4" customHeight="1" x14ac:dyDescent="0.4">
      <c r="B34" s="107" t="s">
        <v>170</v>
      </c>
      <c r="C34" s="100"/>
      <c r="D34" s="115" t="s">
        <v>171</v>
      </c>
      <c r="E34" s="116"/>
      <c r="F34" s="117"/>
      <c r="G34" s="80" t="s">
        <v>172</v>
      </c>
      <c r="H34" s="92"/>
      <c r="I34" s="94"/>
      <c r="J34" s="95"/>
    </row>
    <row r="35" spans="2:10" ht="23.4" customHeight="1" x14ac:dyDescent="0.4">
      <c r="B35" s="84" t="s">
        <v>173</v>
      </c>
      <c r="C35" s="118" t="s">
        <v>309</v>
      </c>
      <c r="D35" s="97" t="s">
        <v>174</v>
      </c>
      <c r="E35" s="119"/>
      <c r="F35" s="120"/>
      <c r="G35" s="82" t="s">
        <v>175</v>
      </c>
      <c r="H35" s="104"/>
      <c r="I35" s="112"/>
      <c r="J35" s="114"/>
    </row>
    <row r="36" spans="2:10" s="96" customFormat="1" ht="23.4" customHeight="1" x14ac:dyDescent="0.4">
      <c r="B36" s="80" t="s">
        <v>176</v>
      </c>
      <c r="C36" s="93" t="s">
        <v>1</v>
      </c>
      <c r="D36" s="80" t="s">
        <v>177</v>
      </c>
      <c r="E36" s="92"/>
      <c r="F36" s="93"/>
      <c r="G36" s="92" t="s">
        <v>178</v>
      </c>
      <c r="H36" s="92"/>
      <c r="I36" s="94"/>
      <c r="J36" s="95"/>
    </row>
    <row r="37" spans="2:10" ht="23.4" customHeight="1" x14ac:dyDescent="0.4">
      <c r="B37" s="82" t="s">
        <v>179</v>
      </c>
      <c r="C37" s="103"/>
      <c r="D37" s="82" t="s">
        <v>180</v>
      </c>
      <c r="E37" s="104"/>
      <c r="F37" s="106" t="s">
        <v>310</v>
      </c>
      <c r="G37" s="104" t="s">
        <v>181</v>
      </c>
      <c r="H37" s="104"/>
      <c r="I37" s="112"/>
      <c r="J37" s="114"/>
    </row>
    <row r="38" spans="2:10" s="96" customFormat="1" ht="23.4" customHeight="1" x14ac:dyDescent="0.4">
      <c r="B38" s="107" t="s">
        <v>182</v>
      </c>
      <c r="C38" s="100"/>
      <c r="D38" s="107" t="s">
        <v>183</v>
      </c>
      <c r="E38" s="108"/>
      <c r="F38" s="99"/>
      <c r="G38" s="80" t="s">
        <v>184</v>
      </c>
      <c r="H38" s="92"/>
      <c r="I38" s="94"/>
      <c r="J38" s="95"/>
    </row>
    <row r="39" spans="2:10" ht="23.4" customHeight="1" x14ac:dyDescent="0.4">
      <c r="B39" s="84" t="s">
        <v>179</v>
      </c>
      <c r="C39" s="100"/>
      <c r="D39" s="84" t="s">
        <v>185</v>
      </c>
      <c r="E39" s="86"/>
      <c r="F39" s="99"/>
      <c r="G39" s="82" t="s">
        <v>186</v>
      </c>
      <c r="H39" s="104"/>
      <c r="I39" s="112"/>
      <c r="J39" s="114"/>
    </row>
    <row r="40" spans="2:10" s="96" customFormat="1" ht="23.4" customHeight="1" x14ac:dyDescent="0.4">
      <c r="B40" s="80" t="s">
        <v>187</v>
      </c>
      <c r="C40" s="93"/>
      <c r="D40" s="80" t="s">
        <v>188</v>
      </c>
      <c r="E40" s="92"/>
      <c r="F40" s="93"/>
      <c r="G40" s="92" t="s">
        <v>189</v>
      </c>
      <c r="H40" s="92"/>
      <c r="I40" s="94"/>
      <c r="J40" s="95"/>
    </row>
    <row r="41" spans="2:10" ht="23.4" customHeight="1" x14ac:dyDescent="0.4">
      <c r="B41" s="82" t="s">
        <v>190</v>
      </c>
      <c r="C41" s="103"/>
      <c r="D41" s="82" t="s">
        <v>191</v>
      </c>
      <c r="E41" s="104"/>
      <c r="F41" s="121" t="s">
        <v>304</v>
      </c>
      <c r="G41" s="104" t="s">
        <v>192</v>
      </c>
      <c r="H41" s="104"/>
      <c r="I41" s="112"/>
      <c r="J41" s="114"/>
    </row>
    <row r="42" spans="2:10" s="96" customFormat="1" ht="23.4" customHeight="1" x14ac:dyDescent="0.4">
      <c r="B42" s="80" t="s">
        <v>193</v>
      </c>
      <c r="C42" s="93"/>
      <c r="D42" s="108" t="s">
        <v>194</v>
      </c>
      <c r="E42" s="108"/>
      <c r="F42" s="99"/>
      <c r="G42" s="80" t="s">
        <v>195</v>
      </c>
      <c r="H42" s="92"/>
      <c r="I42" s="94"/>
      <c r="J42" s="95"/>
    </row>
    <row r="43" spans="2:10" ht="23.4" customHeight="1" x14ac:dyDescent="0.4">
      <c r="B43" s="82" t="s">
        <v>196</v>
      </c>
      <c r="C43" s="103"/>
      <c r="D43" s="86" t="s">
        <v>197</v>
      </c>
      <c r="E43" s="86"/>
      <c r="F43" s="99"/>
      <c r="G43" s="82" t="s">
        <v>198</v>
      </c>
      <c r="H43" s="104"/>
      <c r="I43" s="112"/>
      <c r="J43" s="114"/>
    </row>
    <row r="44" spans="2:10" s="96" customFormat="1" ht="23.4" customHeight="1" x14ac:dyDescent="0.4">
      <c r="B44" s="80" t="s">
        <v>199</v>
      </c>
      <c r="C44" s="94"/>
      <c r="D44" s="90" t="s">
        <v>200</v>
      </c>
      <c r="E44" s="122"/>
      <c r="F44" s="123"/>
      <c r="G44" s="90" t="s">
        <v>201</v>
      </c>
      <c r="H44" s="122"/>
      <c r="I44" s="124" t="s">
        <v>202</v>
      </c>
      <c r="J44" s="123"/>
    </row>
    <row r="45" spans="2:10" ht="23.4" customHeight="1" x14ac:dyDescent="0.4">
      <c r="B45" s="82" t="s">
        <v>203</v>
      </c>
      <c r="C45" s="105"/>
      <c r="D45" s="125" t="s">
        <v>204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205</v>
      </c>
      <c r="C46" s="93"/>
      <c r="D46" s="107" t="s">
        <v>206</v>
      </c>
      <c r="E46" s="108"/>
      <c r="F46" s="99"/>
      <c r="G46" s="80" t="s">
        <v>207</v>
      </c>
      <c r="H46" s="92"/>
      <c r="I46" s="129"/>
      <c r="J46" s="95"/>
    </row>
    <row r="47" spans="2:10" ht="23.4" customHeight="1" x14ac:dyDescent="0.3">
      <c r="B47" s="82" t="s">
        <v>208</v>
      </c>
      <c r="C47" s="106"/>
      <c r="D47" s="82" t="s">
        <v>209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210</v>
      </c>
      <c r="C48" s="93"/>
      <c r="D48" s="107" t="s">
        <v>211</v>
      </c>
      <c r="E48" s="108"/>
      <c r="F48" s="99"/>
      <c r="G48" s="80" t="s">
        <v>212</v>
      </c>
      <c r="H48" s="133"/>
      <c r="I48" s="134"/>
      <c r="J48" s="109" t="s">
        <v>1</v>
      </c>
    </row>
    <row r="49" spans="1:13" ht="23.4" customHeight="1" x14ac:dyDescent="0.4">
      <c r="B49" s="82" t="s">
        <v>213</v>
      </c>
      <c r="C49" s="106" t="s">
        <v>311</v>
      </c>
      <c r="D49" s="82" t="s">
        <v>214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215</v>
      </c>
      <c r="C50" s="100"/>
      <c r="D50" s="80" t="s">
        <v>216</v>
      </c>
      <c r="E50" s="92"/>
      <c r="F50" s="93"/>
      <c r="G50" s="80" t="s">
        <v>217</v>
      </c>
      <c r="H50" s="133"/>
      <c r="I50" s="136"/>
      <c r="J50" s="95" t="s">
        <v>1</v>
      </c>
    </row>
    <row r="51" spans="1:13" ht="23.4" customHeight="1" x14ac:dyDescent="0.4">
      <c r="B51" s="84" t="s">
        <v>218</v>
      </c>
      <c r="C51" s="100"/>
      <c r="D51" s="82" t="s">
        <v>219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220</v>
      </c>
      <c r="C52" s="94"/>
      <c r="D52" s="80" t="s">
        <v>221</v>
      </c>
      <c r="E52" s="92"/>
      <c r="F52" s="93"/>
      <c r="G52" s="80" t="s">
        <v>222</v>
      </c>
      <c r="H52" s="133"/>
      <c r="I52" s="136"/>
      <c r="J52" s="95" t="s">
        <v>1</v>
      </c>
    </row>
    <row r="53" spans="1:13" ht="23.4" customHeight="1" x14ac:dyDescent="0.4">
      <c r="B53" s="82" t="s">
        <v>223</v>
      </c>
      <c r="C53" s="112"/>
      <c r="D53" s="82" t="s">
        <v>224</v>
      </c>
      <c r="E53" s="104"/>
      <c r="F53" s="106" t="s">
        <v>300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225</v>
      </c>
      <c r="C54" s="100"/>
      <c r="D54" s="107" t="s">
        <v>226</v>
      </c>
      <c r="E54" s="108"/>
      <c r="F54" s="100"/>
      <c r="G54" s="90" t="s">
        <v>227</v>
      </c>
      <c r="H54" s="122"/>
      <c r="I54" s="124"/>
      <c r="J54" s="123"/>
    </row>
    <row r="55" spans="1:13" ht="23.4" customHeight="1" x14ac:dyDescent="0.4">
      <c r="B55" s="84" t="s">
        <v>228</v>
      </c>
      <c r="C55" s="100"/>
      <c r="D55" s="84" t="s">
        <v>229</v>
      </c>
      <c r="E55" s="86"/>
      <c r="F55" s="100"/>
      <c r="G55" s="125" t="s">
        <v>230</v>
      </c>
      <c r="H55" s="126"/>
      <c r="I55" s="138"/>
      <c r="J55" s="127"/>
    </row>
    <row r="56" spans="1:13" s="96" customFormat="1" ht="23.4" customHeight="1" x14ac:dyDescent="0.4">
      <c r="B56" s="90" t="s">
        <v>231</v>
      </c>
      <c r="C56" s="139"/>
      <c r="D56" s="80" t="s">
        <v>232</v>
      </c>
      <c r="E56" s="92"/>
      <c r="F56" s="93"/>
      <c r="G56" s="260" t="s">
        <v>233</v>
      </c>
      <c r="H56" s="261"/>
      <c r="I56" s="262" t="s">
        <v>327</v>
      </c>
      <c r="J56" s="264"/>
    </row>
    <row r="57" spans="1:13" ht="23.4" customHeight="1" x14ac:dyDescent="0.4">
      <c r="B57" s="125" t="s">
        <v>234</v>
      </c>
      <c r="C57" s="140"/>
      <c r="D57" s="82" t="s">
        <v>318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328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329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1.98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314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330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307</v>
      </c>
      <c r="E69" s="289"/>
      <c r="F69" s="144" t="s">
        <v>268</v>
      </c>
      <c r="G69" s="145" t="s">
        <v>269</v>
      </c>
      <c r="H69" s="292" t="s">
        <v>331</v>
      </c>
      <c r="I69" s="145" t="s">
        <v>270</v>
      </c>
      <c r="J69" s="294" t="s">
        <v>332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333</v>
      </c>
      <c r="I71" s="145" t="s">
        <v>270</v>
      </c>
      <c r="J71" s="292" t="s">
        <v>333</v>
      </c>
    </row>
    <row r="72" spans="1:11" ht="42" customHeight="1" x14ac:dyDescent="0.3">
      <c r="B72" s="287"/>
      <c r="C72" s="151">
        <v>0.5</v>
      </c>
      <c r="D72" s="151">
        <v>0.54166666666666663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241</v>
      </c>
      <c r="D73" s="299">
        <v>233</v>
      </c>
      <c r="E73" s="301">
        <f>1-(D73/C73)</f>
        <v>3.319502074688796E-2</v>
      </c>
      <c r="F73" s="303" t="s">
        <v>282</v>
      </c>
      <c r="G73" s="306" t="s">
        <v>334</v>
      </c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227</v>
      </c>
      <c r="D75" s="299">
        <v>216</v>
      </c>
      <c r="E75" s="301">
        <f>1-(D75/C75)</f>
        <v>4.8458149779735726E-2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s">
        <v>306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s">
        <v>1</v>
      </c>
      <c r="F79" s="156" t="s">
        <v>289</v>
      </c>
      <c r="G79" s="327" t="s">
        <v>326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305</v>
      </c>
      <c r="D81" s="321"/>
      <c r="E81" s="159" t="s">
        <v>293</v>
      </c>
      <c r="F81" s="317">
        <v>45868</v>
      </c>
      <c r="G81" s="159" t="s">
        <v>294</v>
      </c>
      <c r="H81" s="319" t="s">
        <v>317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2025-08-22T09:04:45Z</cp:lastPrinted>
  <dcterms:created xsi:type="dcterms:W3CDTF">2001-08-01T17:12:05Z</dcterms:created>
  <dcterms:modified xsi:type="dcterms:W3CDTF">2025-08-22T09:04:49Z</dcterms:modified>
</cp:coreProperties>
</file>