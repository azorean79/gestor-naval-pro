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54EB5361-4038-424C-9EB7-B6C837090E90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K34" i="9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<sst xmlns="http://schemas.openxmlformats.org/spreadsheetml/2006/main" count="359" uniqueCount="326">
  <si>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</si>
  <si>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</si>
  <si>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</si>
  <si>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</si>
  <si>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</si>
  <si>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</si>
  <si>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</si>
  <si>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</si>
  <si>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</si>
  <si>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</si>
  <si>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</si>
  <si>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</si>
  <si>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</si>
  <si>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</si>
  <si>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</si>
  <si>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</si>
  <si>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</si>
  <si>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</si>
  <si>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</si>
  <si>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</si>
  <si>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</si>
  <si>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</si>
  <si>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</si>
  <si>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</si>
  <si>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</si>
  <si>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</si>
  <si>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</si>
  <si>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</si>
  <si>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</si>
  <si>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</si>
  <si>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</si>
  <si>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</si>
  <si>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</si>
  <si>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</si>
  <si>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</si>
  <si>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</si>
  <si>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</si>
  <si>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</si>
  <si>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</si>
  <si>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</si>
  <si>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</si>
  <si>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</si>
  <si>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</si>
  <si>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</si>
  <si>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</si>
  <si>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</si>
  <si>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</si>
  <si>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</si>
  <si>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</si>
  <si>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</si>
  <si>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</si>
  <si>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</si>
  <si>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</si>
  <si>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</si>
  <si>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</si>
  <si>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</si>
  <si>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</si>
  <si>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</si>
  <si>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</si>
  <si>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</si>
  <si>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</si>
  <si>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</si>
  <si>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</si>
  <si>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</si>
  <si>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</si>
  <si>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</si>
  <si>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</si>
  <si>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</si>
  <si>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</si>
  <si>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</si>
  <si>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</si>
  <si>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</si>
  <si>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</si>
  <si>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</si>
  <si>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</si>
  <si>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</si>
  <si>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</si>
  <si>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</si>
  <si>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</si>
  <si>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</si>
  <si>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</si>
  <si>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</si>
  <si>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</si>
  <si>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</si>
  <si>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</si>
  <si>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</si>
  <si>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</si>
  <si>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</si>
  <si>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</si>
  <si>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</si>
  <si>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</si>
  <si>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</si>
  <si>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</si>
  <si>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</si>
  <si>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</si>
  <si>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</si>
  <si>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</si>
  <si>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</si>
  <si>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</si>
  <si>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</si>
  <si>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</si>
  <si>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</si>
  <si>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</si>
  <si>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</si>
  <si>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</si>
  <si>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</si>
  <si>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</si>
  <si>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</si>
  <si>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</si>
  <si>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</si>
  <si>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</si>
  <si>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</si>
  <si>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</si>
  <si>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</si>
  <si>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</si>
  <si>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</si>
  <si>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</si>
  <si>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</si>
  <si>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</si>
  <si>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</si>
  <si>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</si>
  <si>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</si>
  <si>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</si>
  <si>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</si>
  <si>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</si>
  <si>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</si>
  <si>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</si>
  <si>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</si>
  <si>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</si>
  <si>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</si>
  <si>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</si>
  <si>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</si>
  <si>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</si>
  <si>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</si>
  <si>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</si>
  <si>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</si>
  <si>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</si>
  <si>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</si>
  <si>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</si>
  <si>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</si>
  <si>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</si>
  <si>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</si>
  <si>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</si>
  <si>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</si>
  <si>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</si>
  <si>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</si>
  <si>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</si>
  <si>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</si>
  <si>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</si>
  <si>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</si>
  <si>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</si>
  <si>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</si>
  <si>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</si>
  <si>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</si>
  <si>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</si>
  <si>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</si>
  <si>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</si>
  <si>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</si>
  <si>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</si>
  <si>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</si>
  <si>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</si>
  <si>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</si>
  <si>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</si>
  <si>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</si>
  <si>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</si>
  <si>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</si>
  <si>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</si>
  <si>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</si>
  <si>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</si>
  <si>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</si>
  <si>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</si>
  <si>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</si>
  <si>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</si>
  <si>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</si>
  <si>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</si>
  <si>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</si>
  <si>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</si>
  <si>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</si>
  <si>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</si>
  <si>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</si>
  <si>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</si>
  <si>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</si>
  <si>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</si>
  <si>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</si>
  <si>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</si>
  <si>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</si>
  <si>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</si>
  <si>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</si>
  <si>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</si>
  <si>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</si>
  <si>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</si>
  <si>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</si>
  <si>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</si>
  <si>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</si>
  <si>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</si>
  <si>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</si>
  <si>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</si>
  <si>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</si>
  <si>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</si>
  <si>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</si>
  <si>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</si>
  <si>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</si>
  <si>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</si>
  <si>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</si>
  <si>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</si>
  <si>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</si>
  <si>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</si>
  <si>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</si>
  <si>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</si>
  <si>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</si>
  <si>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</si>
  <si>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</si>
  <si>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</si>
  <si>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</si>
  <si>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</si>
  <si>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</si>
  <si>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</si>
  <si>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</si>
  <si>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</si>
  <si>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</si>
  <si>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</si>
  <si>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</si>
  <si>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</si>
  <si>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</si>
  <si>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</si>
  <si>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</si>
  <si>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</si>
  <si>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</si>
  <si>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</si>
  <si>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</si>
  <si>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</si>
  <si>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</si>
  <si>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</si>
  <si>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</si>
  <si>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</si>
  <si>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</si>
  <si>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</si>
  <si>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</si>
  <si>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</si>
  <si>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</si>
  <si>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</si>
  <si>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</si>
  <si>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</si>
  <si>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</si>
  <si>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</si>
  <si>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</si>
  <si>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</si>
  <si>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</si>
  <si>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</si>
  <si>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</si>
  <si>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</si>
  <si>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</si>
  <si>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</si>
  <si>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</si>
  <si>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</si>
  <si>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</si>
  <si>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</si>
  <si>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</si>
  <si>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</si>
  <si>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</si>
  <si>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</si>
  <si>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</si>
  <si>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</si>
  <si>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</si>
  <si>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</si>
  <si>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</si>
  <si>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</si>
  <si>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</si>
  <si>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</si>
  <si>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</si>
  <si>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</si>
  <si>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</si>
  <si>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</si>
  <si>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</si>
  <si>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</si>
  <si>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</si>
  <si>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</si>
  <si>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</si>
  <si>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</si>
  <si>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</si>
  <si>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</si>
  <si>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</si>
  <si>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</si>
  <si>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</si>
  <si>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</si>
  <si>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</si>
  <si>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</si>
  <si>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</si>
  <si>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</si>
  <si>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</si>
  <si>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</si>
  <si>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</si>
  <si>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</si>
  <si>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</si>
  <si>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</si>
  <si>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</si>
  <si>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</si>
  <si>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</si>
  <si>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</si>
  <si>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(4)</t>
  </si>
  <si>
    <t>NO</t>
  </si>
  <si>
    <t>10 MT</t>
  </si>
  <si>
    <t xml:space="preserve">OREY TÉCNICA </t>
  </si>
  <si>
    <t xml:space="preserve">inH2O [ ] inHg [   ] mbar [ X ]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</si>
  <si>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</si>
  <si>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</si>
  <si>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</si>
  <si>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</si>
  <si>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PVC</t>
  </si>
  <si>
    <t>SOLAS</t>
  </si>
  <si>
    <t xml:space="preserve">PLASTIMO </t>
  </si>
  <si>
    <t>MARIA PIA</t>
  </si>
  <si>
    <t>JX097172</t>
  </si>
  <si>
    <t>10,085</t>
  </si>
  <si>
    <t>7,725</t>
  </si>
  <si>
    <t>0,140</t>
  </si>
  <si>
    <t>06/2015</t>
  </si>
  <si>
    <t>SAILINGINSIDE</t>
  </si>
  <si>
    <t>07/14</t>
  </si>
  <si>
    <t>PORTUGAL</t>
  </si>
  <si>
    <t>57068SN00011439</t>
  </si>
  <si>
    <t>AZ25-018</t>
  </si>
  <si>
    <t>STD</t>
  </si>
  <si>
    <t>(4) 10/29</t>
  </si>
  <si>
    <t>16 Cº</t>
  </si>
  <si>
    <t>1000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</si>
</sst>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43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30" fillId="0" borderId="5" xfId="0" applyNumberFormat="1" applyFont="1" applyFill="1" applyBorder="1" applyAlignment="1" applyProtection="1">
      <alignment horizontal="center" vertical="center"/>
      <protection locked="0"/>
    </xf>
    <xf numFmtId="1" fontId="30" fillId="0" borderId="6" xfId="0" applyNumberFormat="1" applyFont="1" applyFill="1" applyBorder="1" applyAlignment="1" applyProtection="1">
      <alignment horizontal="center" vertical="center"/>
      <protection locked="0"/>
    </xf>
    <xf numFmtId="1" fontId="30" fillId="0" borderId="2" xfId="0" applyNumberFormat="1" applyFont="1" applyFill="1" applyBorder="1" applyAlignment="1" applyProtection="1">
      <alignment horizontal="center" vertical="center"/>
      <protection locked="0"/>
    </xf>
    <xf numFmtId="1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5" xfId="0" applyNumberFormat="1" applyFont="1" applyFill="1" applyBorder="1" applyAlignment="1" applyProtection="1">
      <alignment horizontal="center" vertical="center"/>
      <protection locked="0"/>
    </xf>
    <xf numFmtId="49" fontId="30" fillId="0" borderId="6" xfId="0" applyNumberFormat="1" applyFont="1" applyFill="1" applyBorder="1" applyAlignment="1" applyProtection="1">
      <alignment horizontal="center" vertical="center"/>
      <protection locked="0"/>
    </xf>
    <xf numFmtId="49" fontId="30" fillId="0" borderId="2" xfId="0" applyNumberFormat="1" applyFont="1" applyFill="1" applyBorder="1" applyAlignment="1" applyProtection="1">
      <alignment horizontal="center" vertical="center"/>
      <protection locked="0"/>
    </xf>
    <xf numFmtId="49" fontId="30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checked="Checked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58</xdr:row>
      <xdr:rowOff>0</xdr:rowOff>
    </xdr:from>
    <xdr:to>
      <xdr:col>11</xdr:col>
      <xdr:colOff>668304</xdr:colOff>
      <xdr:row>68</xdr:row>
      <xdr:rowOff>68580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CF56182-802D-4E61-ABA1-90022FE4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5360" y="9319260"/>
          <a:ext cx="3274344" cy="1592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9</xdr:row>
          <xdr:rowOff>22860</xdr:rowOff>
        </xdr:from>
        <xdr:to>
          <xdr:col>2</xdr:col>
          <xdr:colOff>1630680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11</xdr:row>
          <xdr:rowOff>22860</xdr:rowOff>
        </xdr:from>
        <xdr:to>
          <xdr:col>2</xdr:col>
          <xdr:colOff>1630680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13</xdr:row>
          <xdr:rowOff>22860</xdr:rowOff>
        </xdr:from>
        <xdr:to>
          <xdr:col>2</xdr:col>
          <xdr:colOff>1630680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15</xdr:row>
          <xdr:rowOff>22860</xdr:rowOff>
        </xdr:from>
        <xdr:to>
          <xdr:col>2</xdr:col>
          <xdr:colOff>1630680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17</xdr:row>
          <xdr:rowOff>22860</xdr:rowOff>
        </xdr:from>
        <xdr:to>
          <xdr:col>2</xdr:col>
          <xdr:colOff>1630680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19</xdr:row>
          <xdr:rowOff>22860</xdr:rowOff>
        </xdr:from>
        <xdr:to>
          <xdr:col>2</xdr:col>
          <xdr:colOff>1630680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21</xdr:row>
          <xdr:rowOff>22860</xdr:rowOff>
        </xdr:from>
        <xdr:to>
          <xdr:col>2</xdr:col>
          <xdr:colOff>1630680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23</xdr:row>
          <xdr:rowOff>22860</xdr:rowOff>
        </xdr:from>
        <xdr:to>
          <xdr:col>2</xdr:col>
          <xdr:colOff>1630680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25</xdr:row>
          <xdr:rowOff>22860</xdr:rowOff>
        </xdr:from>
        <xdr:to>
          <xdr:col>2</xdr:col>
          <xdr:colOff>1630680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29</xdr:row>
          <xdr:rowOff>22860</xdr:rowOff>
        </xdr:from>
        <xdr:to>
          <xdr:col>2</xdr:col>
          <xdr:colOff>1630680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31</xdr:row>
          <xdr:rowOff>22860</xdr:rowOff>
        </xdr:from>
        <xdr:to>
          <xdr:col>2</xdr:col>
          <xdr:colOff>1630680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33</xdr:row>
          <xdr:rowOff>22860</xdr:rowOff>
        </xdr:from>
        <xdr:to>
          <xdr:col>2</xdr:col>
          <xdr:colOff>1630680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35</xdr:row>
          <xdr:rowOff>22860</xdr:rowOff>
        </xdr:from>
        <xdr:to>
          <xdr:col>2</xdr:col>
          <xdr:colOff>1630680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37</xdr:row>
          <xdr:rowOff>22860</xdr:rowOff>
        </xdr:from>
        <xdr:to>
          <xdr:col>2</xdr:col>
          <xdr:colOff>1630680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39</xdr:row>
          <xdr:rowOff>22860</xdr:rowOff>
        </xdr:from>
        <xdr:to>
          <xdr:col>2</xdr:col>
          <xdr:colOff>1630680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41</xdr:row>
          <xdr:rowOff>22860</xdr:rowOff>
        </xdr:from>
        <xdr:to>
          <xdr:col>2</xdr:col>
          <xdr:colOff>1630680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43</xdr:row>
          <xdr:rowOff>22860</xdr:rowOff>
        </xdr:from>
        <xdr:to>
          <xdr:col>2</xdr:col>
          <xdr:colOff>1630680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45</xdr:row>
          <xdr:rowOff>22860</xdr:rowOff>
        </xdr:from>
        <xdr:to>
          <xdr:col>2</xdr:col>
          <xdr:colOff>1638300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47</xdr:row>
          <xdr:rowOff>22860</xdr:rowOff>
        </xdr:from>
        <xdr:to>
          <xdr:col>2</xdr:col>
          <xdr:colOff>1630680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49</xdr:row>
          <xdr:rowOff>22860</xdr:rowOff>
        </xdr:from>
        <xdr:to>
          <xdr:col>2</xdr:col>
          <xdr:colOff>1630680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51</xdr:row>
          <xdr:rowOff>22860</xdr:rowOff>
        </xdr:from>
        <xdr:to>
          <xdr:col>2</xdr:col>
          <xdr:colOff>1630680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53</xdr:row>
          <xdr:rowOff>22860</xdr:rowOff>
        </xdr:from>
        <xdr:to>
          <xdr:col>2</xdr:col>
          <xdr:colOff>1630680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55</xdr:row>
          <xdr:rowOff>0</xdr:rowOff>
        </xdr:from>
        <xdr:to>
          <xdr:col>2</xdr:col>
          <xdr:colOff>1630680</xdr:colOff>
          <xdr:row>55</xdr:row>
          <xdr:rowOff>228600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57</xdr:row>
          <xdr:rowOff>22860</xdr:rowOff>
        </xdr:from>
        <xdr:to>
          <xdr:col>2</xdr:col>
          <xdr:colOff>1630680</xdr:colOff>
          <xdr:row>58</xdr:row>
          <xdr:rowOff>15240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59</xdr:row>
          <xdr:rowOff>22860</xdr:rowOff>
        </xdr:from>
        <xdr:to>
          <xdr:col>2</xdr:col>
          <xdr:colOff>1630680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9</xdr:row>
          <xdr:rowOff>22860</xdr:rowOff>
        </xdr:from>
        <xdr:to>
          <xdr:col>5</xdr:col>
          <xdr:colOff>1630680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11</xdr:row>
          <xdr:rowOff>22860</xdr:rowOff>
        </xdr:from>
        <xdr:to>
          <xdr:col>5</xdr:col>
          <xdr:colOff>1630680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13</xdr:row>
          <xdr:rowOff>22860</xdr:rowOff>
        </xdr:from>
        <xdr:to>
          <xdr:col>5</xdr:col>
          <xdr:colOff>1630680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15</xdr:row>
          <xdr:rowOff>22860</xdr:rowOff>
        </xdr:from>
        <xdr:to>
          <xdr:col>5</xdr:col>
          <xdr:colOff>1630680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17</xdr:row>
          <xdr:rowOff>22860</xdr:rowOff>
        </xdr:from>
        <xdr:to>
          <xdr:col>5</xdr:col>
          <xdr:colOff>1630680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19</xdr:row>
          <xdr:rowOff>22860</xdr:rowOff>
        </xdr:from>
        <xdr:to>
          <xdr:col>5</xdr:col>
          <xdr:colOff>1630680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21</xdr:row>
          <xdr:rowOff>22860</xdr:rowOff>
        </xdr:from>
        <xdr:to>
          <xdr:col>5</xdr:col>
          <xdr:colOff>1630680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23</xdr:row>
          <xdr:rowOff>22860</xdr:rowOff>
        </xdr:from>
        <xdr:to>
          <xdr:col>5</xdr:col>
          <xdr:colOff>1630680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25</xdr:row>
          <xdr:rowOff>22860</xdr:rowOff>
        </xdr:from>
        <xdr:to>
          <xdr:col>5</xdr:col>
          <xdr:colOff>1630680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27</xdr:row>
          <xdr:rowOff>22860</xdr:rowOff>
        </xdr:from>
        <xdr:to>
          <xdr:col>5</xdr:col>
          <xdr:colOff>1630680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29</xdr:row>
          <xdr:rowOff>22860</xdr:rowOff>
        </xdr:from>
        <xdr:to>
          <xdr:col>5</xdr:col>
          <xdr:colOff>1630680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31</xdr:row>
          <xdr:rowOff>22860</xdr:rowOff>
        </xdr:from>
        <xdr:to>
          <xdr:col>5</xdr:col>
          <xdr:colOff>1630680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33</xdr:row>
          <xdr:rowOff>22860</xdr:rowOff>
        </xdr:from>
        <xdr:to>
          <xdr:col>5</xdr:col>
          <xdr:colOff>1630680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35</xdr:row>
          <xdr:rowOff>22860</xdr:rowOff>
        </xdr:from>
        <xdr:to>
          <xdr:col>5</xdr:col>
          <xdr:colOff>1630680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37</xdr:row>
          <xdr:rowOff>22860</xdr:rowOff>
        </xdr:from>
        <xdr:to>
          <xdr:col>5</xdr:col>
          <xdr:colOff>1630680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39</xdr:row>
          <xdr:rowOff>22860</xdr:rowOff>
        </xdr:from>
        <xdr:to>
          <xdr:col>5</xdr:col>
          <xdr:colOff>1630680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41</xdr:row>
          <xdr:rowOff>22860</xdr:rowOff>
        </xdr:from>
        <xdr:to>
          <xdr:col>5</xdr:col>
          <xdr:colOff>1630680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43</xdr:row>
          <xdr:rowOff>22860</xdr:rowOff>
        </xdr:from>
        <xdr:to>
          <xdr:col>5</xdr:col>
          <xdr:colOff>1630680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45</xdr:row>
          <xdr:rowOff>22860</xdr:rowOff>
        </xdr:from>
        <xdr:to>
          <xdr:col>5</xdr:col>
          <xdr:colOff>1630680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51</xdr:row>
          <xdr:rowOff>22860</xdr:rowOff>
        </xdr:from>
        <xdr:to>
          <xdr:col>5</xdr:col>
          <xdr:colOff>1630680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55</xdr:row>
          <xdr:rowOff>0</xdr:rowOff>
        </xdr:from>
        <xdr:to>
          <xdr:col>5</xdr:col>
          <xdr:colOff>1630680</xdr:colOff>
          <xdr:row>55</xdr:row>
          <xdr:rowOff>228600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59</xdr:row>
          <xdr:rowOff>22860</xdr:rowOff>
        </xdr:from>
        <xdr:to>
          <xdr:col>5</xdr:col>
          <xdr:colOff>1630680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9</xdr:row>
          <xdr:rowOff>22860</xdr:rowOff>
        </xdr:from>
        <xdr:to>
          <xdr:col>9</xdr:col>
          <xdr:colOff>571500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11</xdr:row>
          <xdr:rowOff>22860</xdr:rowOff>
        </xdr:from>
        <xdr:to>
          <xdr:col>9</xdr:col>
          <xdr:colOff>571500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13</xdr:row>
          <xdr:rowOff>22860</xdr:rowOff>
        </xdr:from>
        <xdr:to>
          <xdr:col>9</xdr:col>
          <xdr:colOff>571500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15</xdr:row>
          <xdr:rowOff>22860</xdr:rowOff>
        </xdr:from>
        <xdr:to>
          <xdr:col>9</xdr:col>
          <xdr:colOff>571500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17</xdr:row>
          <xdr:rowOff>22860</xdr:rowOff>
        </xdr:from>
        <xdr:to>
          <xdr:col>9</xdr:col>
          <xdr:colOff>571500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19</xdr:row>
          <xdr:rowOff>22860</xdr:rowOff>
        </xdr:from>
        <xdr:to>
          <xdr:col>9</xdr:col>
          <xdr:colOff>571500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21</xdr:row>
          <xdr:rowOff>22860</xdr:rowOff>
        </xdr:from>
        <xdr:to>
          <xdr:col>9</xdr:col>
          <xdr:colOff>571500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23</xdr:row>
          <xdr:rowOff>22860</xdr:rowOff>
        </xdr:from>
        <xdr:to>
          <xdr:col>9</xdr:col>
          <xdr:colOff>571500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25</xdr:row>
          <xdr:rowOff>22860</xdr:rowOff>
        </xdr:from>
        <xdr:to>
          <xdr:col>9</xdr:col>
          <xdr:colOff>571500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27</xdr:row>
          <xdr:rowOff>22860</xdr:rowOff>
        </xdr:from>
        <xdr:to>
          <xdr:col>9</xdr:col>
          <xdr:colOff>571500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29</xdr:row>
          <xdr:rowOff>22860</xdr:rowOff>
        </xdr:from>
        <xdr:to>
          <xdr:col>9</xdr:col>
          <xdr:colOff>571500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31</xdr:row>
          <xdr:rowOff>22860</xdr:rowOff>
        </xdr:from>
        <xdr:to>
          <xdr:col>9</xdr:col>
          <xdr:colOff>571500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35</xdr:row>
          <xdr:rowOff>22860</xdr:rowOff>
        </xdr:from>
        <xdr:to>
          <xdr:col>9</xdr:col>
          <xdr:colOff>571500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37</xdr:row>
          <xdr:rowOff>22860</xdr:rowOff>
        </xdr:from>
        <xdr:to>
          <xdr:col>9</xdr:col>
          <xdr:colOff>571500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39</xdr:row>
          <xdr:rowOff>22860</xdr:rowOff>
        </xdr:from>
        <xdr:to>
          <xdr:col>9</xdr:col>
          <xdr:colOff>571500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41</xdr:row>
          <xdr:rowOff>22860</xdr:rowOff>
        </xdr:from>
        <xdr:to>
          <xdr:col>9</xdr:col>
          <xdr:colOff>571500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43</xdr:row>
          <xdr:rowOff>22860</xdr:rowOff>
        </xdr:from>
        <xdr:to>
          <xdr:col>9</xdr:col>
          <xdr:colOff>571500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45</xdr:row>
          <xdr:rowOff>22860</xdr:rowOff>
        </xdr:from>
        <xdr:to>
          <xdr:col>9</xdr:col>
          <xdr:colOff>571500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27</xdr:row>
          <xdr:rowOff>22860</xdr:rowOff>
        </xdr:from>
        <xdr:to>
          <xdr:col>2</xdr:col>
          <xdr:colOff>1630680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53</xdr:row>
          <xdr:rowOff>22860</xdr:rowOff>
        </xdr:from>
        <xdr:to>
          <xdr:col>5</xdr:col>
          <xdr:colOff>1630680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57</xdr:row>
          <xdr:rowOff>22860</xdr:rowOff>
        </xdr:from>
        <xdr:to>
          <xdr:col>5</xdr:col>
          <xdr:colOff>1630680</xdr:colOff>
          <xdr:row>58</xdr:row>
          <xdr:rowOff>15240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53</xdr:row>
          <xdr:rowOff>22860</xdr:rowOff>
        </xdr:from>
        <xdr:to>
          <xdr:col>9</xdr:col>
          <xdr:colOff>571500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47</xdr:row>
          <xdr:rowOff>22860</xdr:rowOff>
        </xdr:from>
        <xdr:to>
          <xdr:col>5</xdr:col>
          <xdr:colOff>1630680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49</xdr:row>
          <xdr:rowOff>22860</xdr:rowOff>
        </xdr:from>
        <xdr:to>
          <xdr:col>5</xdr:col>
          <xdr:colOff>1630680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61</xdr:row>
          <xdr:rowOff>22860</xdr:rowOff>
        </xdr:from>
        <xdr:to>
          <xdr:col>5</xdr:col>
          <xdr:colOff>1630680</xdr:colOff>
          <xdr:row>62</xdr:row>
          <xdr:rowOff>15240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2</xdr:col>
          <xdr:colOff>1638300</xdr:colOff>
          <xdr:row>62</xdr:row>
          <xdr:rowOff>15240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61</xdr:row>
          <xdr:rowOff>22860</xdr:rowOff>
        </xdr:from>
        <xdr:to>
          <xdr:col>2</xdr:col>
          <xdr:colOff>1638300</xdr:colOff>
          <xdr:row>62</xdr:row>
          <xdr:rowOff>15240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2</xdr:col>
          <xdr:colOff>1638300</xdr:colOff>
          <xdr:row>66</xdr:row>
          <xdr:rowOff>15240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65</xdr:row>
          <xdr:rowOff>22860</xdr:rowOff>
        </xdr:from>
        <xdr:to>
          <xdr:col>2</xdr:col>
          <xdr:colOff>1638300</xdr:colOff>
          <xdr:row>66</xdr:row>
          <xdr:rowOff>15240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65</xdr:row>
          <xdr:rowOff>22860</xdr:rowOff>
        </xdr:from>
        <xdr:to>
          <xdr:col>5</xdr:col>
          <xdr:colOff>1630680</xdr:colOff>
          <xdr:row>66</xdr:row>
          <xdr:rowOff>15240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762000</xdr:colOff>
          <xdr:row>63</xdr:row>
          <xdr:rowOff>22860</xdr:rowOff>
        </xdr:from>
        <xdr:to>
          <xdr:col>5</xdr:col>
          <xdr:colOff>1630680</xdr:colOff>
          <xdr:row>64</xdr:row>
          <xdr:rowOff>15240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33</xdr:row>
          <xdr:rowOff>22860</xdr:rowOff>
        </xdr:from>
        <xdr:to>
          <xdr:col>9</xdr:col>
          <xdr:colOff>571500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2</xdr:col>
          <xdr:colOff>1638300</xdr:colOff>
          <xdr:row>64</xdr:row>
          <xdr:rowOff>15240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762000</xdr:colOff>
          <xdr:row>63</xdr:row>
          <xdr:rowOff>22860</xdr:rowOff>
        </xdr:from>
        <xdr:to>
          <xdr:col>2</xdr:col>
          <xdr:colOff>1638300</xdr:colOff>
          <xdr:row>64</xdr:row>
          <xdr:rowOff>15240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49</xdr:row>
          <xdr:rowOff>22860</xdr:rowOff>
        </xdr:from>
        <xdr:to>
          <xdr:col>9</xdr:col>
          <xdr:colOff>571500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51</xdr:row>
          <xdr:rowOff>22860</xdr:rowOff>
        </xdr:from>
        <xdr:to>
          <xdr:col>9</xdr:col>
          <xdr:colOff>571500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762000</xdr:colOff>
          <xdr:row>47</xdr:row>
          <xdr:rowOff>22860</xdr:rowOff>
        </xdr:from>
        <xdr:to>
          <xdr:col>9</xdr:col>
          <xdr:colOff>571500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workbookViewId="0">
      <selection activeCell="R60" sqref="R6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43" t="s">
        <v>75</v>
      </c>
      <c r="J3" s="243"/>
      <c r="K3" s="239" t="str">
        <f>QUADRO!I5</f>
        <v>AZ25-018</v>
      </c>
      <c r="L3" s="240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34" t="s">
        <v>76</v>
      </c>
      <c r="J4" s="234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41" t="s">
        <v>67</v>
      </c>
      <c r="B6" s="241"/>
      <c r="C6" s="241"/>
      <c r="D6" s="241"/>
      <c r="E6" s="241"/>
      <c r="F6" s="241"/>
      <c r="G6" s="241"/>
      <c r="H6" s="241"/>
      <c r="I6" s="241"/>
      <c r="J6" s="241"/>
      <c r="K6" s="241"/>
      <c r="L6" s="241"/>
      <c r="M6" s="6"/>
    </row>
    <row r="7" spans="1:13" x14ac:dyDescent="0.25">
      <c r="A7" s="234" t="s">
        <v>2</v>
      </c>
      <c r="B7" s="234"/>
      <c r="C7" s="234"/>
      <c r="D7" s="234"/>
      <c r="E7" s="234"/>
      <c r="F7" s="234"/>
      <c r="G7" s="234"/>
      <c r="H7" s="234"/>
      <c r="I7" s="234"/>
      <c r="J7" s="234"/>
      <c r="K7" s="234"/>
      <c r="L7" s="234"/>
      <c r="M7" s="4"/>
    </row>
    <row r="8" spans="1:13" ht="15" x14ac:dyDescent="0.25">
      <c r="A8" s="23"/>
      <c r="B8" s="242" t="s">
        <v>77</v>
      </c>
      <c r="C8" s="242"/>
      <c r="D8" s="242"/>
      <c r="E8" s="242"/>
      <c r="F8" s="242"/>
      <c r="G8" s="242"/>
      <c r="H8" s="242"/>
      <c r="I8" s="242"/>
      <c r="J8" s="242"/>
      <c r="K8" s="242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 xml:space="preserve">PLASTIMO </v>
      </c>
      <c r="D12" s="166"/>
      <c r="E12" s="244"/>
      <c r="F12" s="167"/>
      <c r="G12" s="165">
        <f>QUADRO!J7</f>
        <v>8</v>
      </c>
      <c r="H12" s="167"/>
      <c r="I12" s="227" t="str">
        <f>QUADRO!C7</f>
        <v>57068SN00011439</v>
      </c>
      <c r="J12" s="228"/>
      <c r="K12" s="238" t="str">
        <f>QUADRO!G79</f>
        <v>06/2015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308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34" t="s">
        <v>25</v>
      </c>
      <c r="D18" s="234"/>
      <c r="E18" s="234"/>
      <c r="F18" s="8"/>
      <c r="G18" s="234" t="s">
        <v>26</v>
      </c>
      <c r="H18" s="234"/>
      <c r="I18" s="234" t="s">
        <v>27</v>
      </c>
      <c r="J18" s="234"/>
      <c r="K18" s="234" t="s">
        <v>28</v>
      </c>
      <c r="L18" s="234"/>
      <c r="M18" s="1"/>
    </row>
    <row r="19" spans="1:13" s="16" customFormat="1" ht="15" x14ac:dyDescent="0.25">
      <c r="A19" s="11"/>
      <c r="B19" s="11"/>
      <c r="C19" s="197" t="str">
        <f>QUADRO!I56</f>
        <v>JX097172</v>
      </c>
      <c r="D19" s="198"/>
      <c r="E19" s="198"/>
      <c r="F19" s="199"/>
      <c r="G19" s="235">
        <f>QUADRO!I62</f>
        <v>2.2200000000000002</v>
      </c>
      <c r="H19" s="235"/>
      <c r="I19" s="235" t="str">
        <f>QUADRO!I64</f>
        <v>0,140</v>
      </c>
      <c r="J19" s="235"/>
      <c r="K19" s="236" t="str">
        <f>QUADRO!I66</f>
        <v>07/14</v>
      </c>
      <c r="L19" s="237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35"/>
      <c r="H20" s="235"/>
      <c r="I20" s="235"/>
      <c r="J20" s="235"/>
      <c r="K20" s="236"/>
      <c r="L20" s="237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33"/>
      <c r="H21" s="233"/>
      <c r="I21" s="233"/>
      <c r="J21" s="233"/>
      <c r="K21" s="233"/>
      <c r="L21" s="233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33"/>
      <c r="H22" s="233"/>
      <c r="I22" s="233"/>
      <c r="J22" s="233"/>
      <c r="K22" s="233"/>
      <c r="L22" s="233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34" t="s">
        <v>34</v>
      </c>
      <c r="H25" s="234"/>
      <c r="I25" s="234" t="s">
        <v>25</v>
      </c>
      <c r="J25" s="234"/>
      <c r="K25" s="234" t="s">
        <v>35</v>
      </c>
      <c r="L25" s="234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2" t="str">
        <f>QUADRO!F47</f>
        <v>STD</v>
      </c>
      <c r="H26" s="196"/>
      <c r="I26" s="225" t="str">
        <f>QUADRO!C7</f>
        <v>57068SN00011439</v>
      </c>
      <c r="J26" s="226"/>
      <c r="K26" s="229">
        <f>QUADRO!F81+366+365+365</f>
        <v>46800</v>
      </c>
      <c r="L26" s="230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27"/>
      <c r="J27" s="228"/>
      <c r="K27" s="231"/>
      <c r="L27" s="232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23"/>
      <c r="H29" s="224"/>
      <c r="I29" s="223"/>
      <c r="J29" s="224"/>
      <c r="K29" s="223"/>
      <c r="L29" s="224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23"/>
      <c r="H31" s="224"/>
      <c r="I31" s="223"/>
      <c r="J31" s="224"/>
      <c r="K31" s="223"/>
      <c r="L31" s="224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23"/>
      <c r="J33" s="224"/>
      <c r="K33" s="223"/>
      <c r="L33" s="224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7" t="s">
        <v>309</v>
      </c>
      <c r="H34" s="218"/>
      <c r="I34" s="217"/>
      <c r="J34" s="218"/>
      <c r="K34" s="209">
        <f>QUADRO!J13</f>
        <v>0</v>
      </c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9"/>
      <c r="H35" s="220"/>
      <c r="I35" s="219"/>
      <c r="J35" s="220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21"/>
      <c r="D37" s="221"/>
      <c r="E37" s="221"/>
      <c r="F37" s="27"/>
      <c r="G37" s="221"/>
      <c r="H37" s="221"/>
      <c r="I37" s="221"/>
      <c r="J37" s="221"/>
      <c r="K37" s="221"/>
      <c r="L37" s="221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300</v>
      </c>
      <c r="F40" s="175"/>
      <c r="G40" s="52" t="s">
        <v>52</v>
      </c>
      <c r="H40" s="193" t="s">
        <v>300</v>
      </c>
      <c r="I40" s="52" t="s">
        <v>73</v>
      </c>
      <c r="J40" s="193" t="s">
        <v>300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45704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C47+365+365+365</f>
        <v>46799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305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47" t="s">
        <v>319</v>
      </c>
      <c r="E57" s="247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47"/>
      <c r="E58" s="247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8"/>
      <c r="E59" s="248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8"/>
      <c r="E60" s="248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47"/>
      <c r="E61" s="247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47"/>
      <c r="E62" s="247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9" t="str">
        <f>QUADRO!E7</f>
        <v>MARIA PIA</v>
      </c>
      <c r="E63" s="249"/>
      <c r="F63" s="249"/>
      <c r="G63" s="249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9"/>
      <c r="E64" s="249"/>
      <c r="F64" s="249"/>
      <c r="G64" s="249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47" t="s">
        <v>317</v>
      </c>
      <c r="E65" s="247"/>
      <c r="F65" s="247"/>
      <c r="G65" s="247"/>
      <c r="H65" s="247"/>
      <c r="I65" s="247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47"/>
      <c r="E66" s="247"/>
      <c r="F66" s="247"/>
      <c r="G66" s="247"/>
      <c r="H66" s="247"/>
      <c r="I66" s="247"/>
      <c r="J66" s="234" t="s">
        <v>0</v>
      </c>
      <c r="K66" s="234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45" t="s">
        <v>304</v>
      </c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</row>
    <row r="70" spans="1:13" x14ac:dyDescent="0.25">
      <c r="A70" s="245"/>
      <c r="B70" s="245"/>
      <c r="C70" s="245"/>
      <c r="D70" s="245"/>
      <c r="E70" s="245"/>
      <c r="F70" s="245"/>
      <c r="G70" s="245"/>
      <c r="H70" s="245"/>
      <c r="I70" s="245"/>
      <c r="J70" s="245"/>
      <c r="K70" s="245"/>
      <c r="L70" s="245"/>
    </row>
    <row r="71" spans="1:13" x14ac:dyDescent="0.25">
      <c r="A71" s="245"/>
      <c r="B71" s="245"/>
      <c r="C71" s="245"/>
      <c r="D71" s="245"/>
      <c r="E71" s="245"/>
      <c r="F71" s="245"/>
      <c r="G71" s="245"/>
      <c r="H71" s="245"/>
      <c r="I71" s="245"/>
      <c r="J71" s="245"/>
      <c r="K71" s="245"/>
      <c r="L71" s="245"/>
    </row>
    <row r="72" spans="1:13" x14ac:dyDescent="0.25">
      <c r="A72" s="245"/>
      <c r="B72" s="245"/>
      <c r="C72" s="245"/>
      <c r="D72" s="245"/>
      <c r="E72" s="245"/>
      <c r="F72" s="245"/>
      <c r="G72" s="245"/>
      <c r="H72" s="245"/>
      <c r="I72" s="245"/>
      <c r="J72" s="245"/>
      <c r="K72" s="245"/>
      <c r="L72" s="245"/>
    </row>
    <row r="73" spans="1:13" x14ac:dyDescent="0.25">
      <c r="A73" s="245"/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</row>
    <row r="74" spans="1:13" x14ac:dyDescent="0.25">
      <c r="A74" s="245"/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</row>
    <row r="75" spans="1:13" x14ac:dyDescent="0.25">
      <c r="A75" s="245"/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</row>
    <row r="76" spans="1:13" x14ac:dyDescent="0.25">
      <c r="A76" s="245"/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</row>
    <row r="77" spans="1:13" x14ac:dyDescent="0.25">
      <c r="G77" s="246" t="s">
        <v>81</v>
      </c>
      <c r="H77" s="246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7" zoomScale="48" zoomScaleNormal="48" workbookViewId="0">
      <selection activeCell="G73" sqref="G73:J78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5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31" t="s">
        <v>86</v>
      </c>
      <c r="E3" s="331"/>
      <c r="F3" s="331"/>
      <c r="G3" s="331"/>
      <c r="H3" s="332" t="s">
        <v>87</v>
      </c>
      <c r="I3" s="334"/>
      <c r="J3" s="335"/>
    </row>
    <row r="4" spans="2:15" s="79" customFormat="1" ht="23.4" customHeight="1" x14ac:dyDescent="0.4">
      <c r="B4" s="77" t="s">
        <v>88</v>
      </c>
      <c r="C4" s="78"/>
      <c r="D4" s="336" t="s">
        <v>89</v>
      </c>
      <c r="E4" s="336"/>
      <c r="F4" s="336"/>
      <c r="G4" s="337"/>
      <c r="H4" s="333"/>
      <c r="I4" s="335"/>
      <c r="J4" s="335"/>
    </row>
    <row r="5" spans="2:15" s="79" customFormat="1" ht="23.4" customHeight="1" x14ac:dyDescent="0.4">
      <c r="B5" s="77" t="s">
        <v>90</v>
      </c>
      <c r="C5" s="77"/>
      <c r="H5" s="338" t="s">
        <v>91</v>
      </c>
      <c r="I5" s="340" t="s">
        <v>321</v>
      </c>
      <c r="J5" s="341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9"/>
      <c r="I6" s="342"/>
      <c r="J6" s="342"/>
    </row>
    <row r="7" spans="2:15" ht="23.4" customHeight="1" x14ac:dyDescent="0.3">
      <c r="B7" s="80" t="s">
        <v>92</v>
      </c>
      <c r="C7" s="315" t="s">
        <v>320</v>
      </c>
      <c r="D7" s="80" t="s">
        <v>93</v>
      </c>
      <c r="E7" s="317" t="s">
        <v>311</v>
      </c>
      <c r="F7" s="318"/>
      <c r="G7" s="81" t="s">
        <v>94</v>
      </c>
      <c r="H7" s="317" t="s">
        <v>310</v>
      </c>
      <c r="I7" s="326"/>
      <c r="J7" s="329">
        <v>8</v>
      </c>
    </row>
    <row r="8" spans="2:15" ht="23.4" customHeight="1" x14ac:dyDescent="0.3">
      <c r="B8" s="82" t="s">
        <v>95</v>
      </c>
      <c r="C8" s="316"/>
      <c r="D8" s="82" t="s">
        <v>96</v>
      </c>
      <c r="E8" s="319"/>
      <c r="F8" s="320"/>
      <c r="G8" s="83" t="s">
        <v>97</v>
      </c>
      <c r="H8" s="327"/>
      <c r="I8" s="328"/>
      <c r="J8" s="330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299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301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322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4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4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4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4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4" ht="23.4" customHeight="1" x14ac:dyDescent="0.4">
      <c r="B53" s="82" t="s">
        <v>222</v>
      </c>
      <c r="C53" s="112"/>
      <c r="D53" s="82" t="s">
        <v>223</v>
      </c>
      <c r="E53" s="104"/>
      <c r="F53" s="106"/>
      <c r="G53" s="84"/>
      <c r="H53" s="137"/>
      <c r="I53" s="131"/>
      <c r="J53" s="132" t="s">
        <v>1</v>
      </c>
    </row>
    <row r="54" spans="1:14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4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4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21" t="s">
        <v>232</v>
      </c>
      <c r="H56" s="322"/>
      <c r="I56" s="323" t="s">
        <v>312</v>
      </c>
      <c r="J56" s="324"/>
      <c r="M56" s="163"/>
    </row>
    <row r="57" spans="1:14" ht="23.4" customHeight="1" x14ac:dyDescent="0.4">
      <c r="B57" s="125" t="s">
        <v>233</v>
      </c>
      <c r="C57" s="140"/>
      <c r="D57" s="82" t="s">
        <v>234</v>
      </c>
      <c r="E57" s="104"/>
      <c r="F57" s="103"/>
      <c r="G57" s="314" t="s">
        <v>235</v>
      </c>
      <c r="H57" s="293"/>
      <c r="I57" s="289"/>
      <c r="J57" s="325"/>
    </row>
    <row r="58" spans="1:14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13" t="s">
        <v>238</v>
      </c>
      <c r="H58" s="287"/>
      <c r="I58" s="288" t="s">
        <v>313</v>
      </c>
      <c r="J58" s="290"/>
      <c r="M58" s="163"/>
    </row>
    <row r="59" spans="1:14" ht="23.4" customHeight="1" x14ac:dyDescent="0.4">
      <c r="B59" s="84" t="s">
        <v>239</v>
      </c>
      <c r="C59" s="100"/>
      <c r="D59" s="82" t="s">
        <v>240</v>
      </c>
      <c r="E59" s="104"/>
      <c r="F59" s="141"/>
      <c r="G59" s="314" t="s">
        <v>241</v>
      </c>
      <c r="H59" s="293"/>
      <c r="I59" s="289"/>
      <c r="J59" s="291"/>
      <c r="N59" s="164"/>
    </row>
    <row r="60" spans="1:14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13" t="s">
        <v>244</v>
      </c>
      <c r="H60" s="287"/>
      <c r="I60" s="288" t="s">
        <v>314</v>
      </c>
      <c r="J60" s="290"/>
      <c r="M60" s="163"/>
    </row>
    <row r="61" spans="1:14" ht="23.4" customHeight="1" x14ac:dyDescent="0.4">
      <c r="B61" s="82" t="s">
        <v>245</v>
      </c>
      <c r="C61" s="103"/>
      <c r="D61" s="125" t="s">
        <v>246</v>
      </c>
      <c r="E61" s="138"/>
      <c r="F61" s="140"/>
      <c r="G61" s="314" t="s">
        <v>247</v>
      </c>
      <c r="H61" s="293"/>
      <c r="I61" s="289"/>
      <c r="J61" s="291"/>
    </row>
    <row r="62" spans="1:14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86" t="s">
        <v>250</v>
      </c>
      <c r="H62" s="287"/>
      <c r="I62" s="309">
        <v>2.2200000000000002</v>
      </c>
      <c r="J62" s="311"/>
    </row>
    <row r="63" spans="1:14" ht="23.4" customHeight="1" x14ac:dyDescent="0.4">
      <c r="B63" s="84" t="s">
        <v>251</v>
      </c>
      <c r="C63" s="103"/>
      <c r="D63" s="82" t="s">
        <v>252</v>
      </c>
      <c r="E63" s="104"/>
      <c r="F63" s="106" t="s">
        <v>323</v>
      </c>
      <c r="G63" s="292" t="s">
        <v>253</v>
      </c>
      <c r="H63" s="293"/>
      <c r="I63" s="310"/>
      <c r="J63" s="312"/>
    </row>
    <row r="64" spans="1:14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13" t="s">
        <v>256</v>
      </c>
      <c r="H64" s="287"/>
      <c r="I64" s="288" t="s">
        <v>315</v>
      </c>
      <c r="J64" s="290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14" t="s">
        <v>259</v>
      </c>
      <c r="H65" s="293"/>
      <c r="I65" s="289"/>
      <c r="J65" s="291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86" t="s">
        <v>262</v>
      </c>
      <c r="H66" s="287"/>
      <c r="I66" s="288" t="s">
        <v>318</v>
      </c>
      <c r="J66" s="290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92" t="s">
        <v>265</v>
      </c>
      <c r="H67" s="293"/>
      <c r="I67" s="289"/>
      <c r="J67" s="291"/>
    </row>
    <row r="68" spans="1:11" ht="5.25" customHeight="1" x14ac:dyDescent="0.3">
      <c r="B68" s="294"/>
      <c r="C68" s="295"/>
      <c r="D68" s="295"/>
      <c r="E68" s="295"/>
      <c r="F68" s="295"/>
      <c r="G68" s="295"/>
      <c r="H68" s="295"/>
      <c r="I68" s="295"/>
      <c r="J68" s="296"/>
    </row>
    <row r="69" spans="1:11" ht="21" x14ac:dyDescent="0.3">
      <c r="B69" s="297" t="s">
        <v>266</v>
      </c>
      <c r="C69" s="143" t="s">
        <v>267</v>
      </c>
      <c r="D69" s="301" t="s">
        <v>303</v>
      </c>
      <c r="E69" s="302"/>
      <c r="F69" s="144" t="s">
        <v>268</v>
      </c>
      <c r="G69" s="145" t="s">
        <v>269</v>
      </c>
      <c r="H69" s="305" t="s">
        <v>324</v>
      </c>
      <c r="I69" s="145" t="s">
        <v>270</v>
      </c>
      <c r="J69" s="307" t="s">
        <v>324</v>
      </c>
    </row>
    <row r="70" spans="1:11" ht="21.6" customHeight="1" x14ac:dyDescent="0.3">
      <c r="B70" s="298"/>
      <c r="C70" s="146" t="s">
        <v>271</v>
      </c>
      <c r="D70" s="303"/>
      <c r="E70" s="304"/>
      <c r="F70" s="147" t="s">
        <v>272</v>
      </c>
      <c r="G70" s="148" t="s">
        <v>273</v>
      </c>
      <c r="H70" s="306"/>
      <c r="I70" s="148" t="s">
        <v>274</v>
      </c>
      <c r="J70" s="308"/>
    </row>
    <row r="71" spans="1:11" ht="21" x14ac:dyDescent="0.3">
      <c r="B71" s="299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305" t="s">
        <v>325</v>
      </c>
      <c r="I71" s="145" t="s">
        <v>270</v>
      </c>
      <c r="J71" s="305" t="s">
        <v>325</v>
      </c>
    </row>
    <row r="72" spans="1:11" ht="42" customHeight="1" x14ac:dyDescent="0.3">
      <c r="B72" s="300"/>
      <c r="C72" s="151">
        <v>0.375</v>
      </c>
      <c r="D72" s="151">
        <v>0.41666666666666669</v>
      </c>
      <c r="E72" s="152" t="s">
        <v>279</v>
      </c>
      <c r="F72" s="147" t="s">
        <v>280</v>
      </c>
      <c r="G72" s="153" t="s">
        <v>273</v>
      </c>
      <c r="H72" s="306"/>
      <c r="I72" s="153" t="s">
        <v>274</v>
      </c>
      <c r="J72" s="306"/>
    </row>
    <row r="73" spans="1:11" ht="21.6" customHeight="1" x14ac:dyDescent="0.3">
      <c r="B73" s="154" t="s">
        <v>281</v>
      </c>
      <c r="C73" s="270">
        <v>77.2</v>
      </c>
      <c r="D73" s="270">
        <v>75.099999999999994</v>
      </c>
      <c r="E73" s="272">
        <f>1-(D73/C73)</f>
        <v>2.72020725388602E-2</v>
      </c>
      <c r="F73" s="274" t="s">
        <v>282</v>
      </c>
      <c r="G73" s="277"/>
      <c r="H73" s="278"/>
      <c r="I73" s="278"/>
      <c r="J73" s="279"/>
    </row>
    <row r="74" spans="1:11" ht="21.6" customHeight="1" x14ac:dyDescent="0.3">
      <c r="B74" s="155" t="s">
        <v>283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54" t="s">
        <v>284</v>
      </c>
      <c r="C75" s="270">
        <v>79.400000000000006</v>
      </c>
      <c r="D75" s="270">
        <v>77.400000000000006</v>
      </c>
      <c r="E75" s="272">
        <f>1-(D75/C75)</f>
        <v>2.5188916876574319E-2</v>
      </c>
      <c r="F75" s="275"/>
      <c r="G75" s="280"/>
      <c r="H75" s="281"/>
      <c r="I75" s="281"/>
      <c r="J75" s="282"/>
    </row>
    <row r="76" spans="1:11" ht="21.6" customHeight="1" x14ac:dyDescent="0.3">
      <c r="B76" s="155" t="s">
        <v>285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54" t="s">
        <v>286</v>
      </c>
      <c r="C77" s="258"/>
      <c r="D77" s="258"/>
      <c r="E77" s="260" t="e">
        <f>1-(D77/C77)</f>
        <v>#DIV/0!</v>
      </c>
      <c r="F77" s="275"/>
      <c r="G77" s="280"/>
      <c r="H77" s="281"/>
      <c r="I77" s="281"/>
      <c r="J77" s="282"/>
    </row>
    <row r="78" spans="1:11" ht="21" customHeight="1" x14ac:dyDescent="0.3">
      <c r="B78" s="155" t="s">
        <v>287</v>
      </c>
      <c r="C78" s="259"/>
      <c r="D78" s="259"/>
      <c r="E78" s="261"/>
      <c r="F78" s="276"/>
      <c r="G78" s="283"/>
      <c r="H78" s="284"/>
      <c r="I78" s="284"/>
      <c r="J78" s="285"/>
    </row>
    <row r="79" spans="1:11" s="96" customFormat="1" ht="21.6" customHeight="1" x14ac:dyDescent="0.3">
      <c r="A79" s="76"/>
      <c r="B79" s="154" t="s">
        <v>288</v>
      </c>
      <c r="C79" s="258"/>
      <c r="D79" s="258"/>
      <c r="E79" s="260" t="e">
        <f>1-(D79/C79)</f>
        <v>#DIV/0!</v>
      </c>
      <c r="F79" s="156" t="s">
        <v>289</v>
      </c>
      <c r="G79" s="262" t="s">
        <v>316</v>
      </c>
      <c r="H79" s="264"/>
      <c r="I79" s="265"/>
      <c r="J79" s="266"/>
      <c r="K79" s="76"/>
    </row>
    <row r="80" spans="1:11" ht="21" customHeight="1" x14ac:dyDescent="0.3">
      <c r="B80" s="155" t="s">
        <v>290</v>
      </c>
      <c r="C80" s="259"/>
      <c r="D80" s="259"/>
      <c r="E80" s="261"/>
      <c r="F80" s="157" t="s">
        <v>291</v>
      </c>
      <c r="G80" s="263"/>
      <c r="H80" s="267"/>
      <c r="I80" s="268"/>
      <c r="J80" s="269"/>
    </row>
    <row r="81" spans="1:11" ht="30" customHeight="1" x14ac:dyDescent="0.3">
      <c r="A81" s="96"/>
      <c r="B81" s="158" t="s">
        <v>292</v>
      </c>
      <c r="C81" s="252" t="s">
        <v>302</v>
      </c>
      <c r="D81" s="254"/>
      <c r="E81" s="159" t="s">
        <v>293</v>
      </c>
      <c r="F81" s="250">
        <v>45704</v>
      </c>
      <c r="G81" s="159" t="s">
        <v>294</v>
      </c>
      <c r="H81" s="252" t="s">
        <v>306</v>
      </c>
      <c r="I81" s="253"/>
      <c r="J81" s="254"/>
      <c r="K81" s="96"/>
    </row>
    <row r="82" spans="1:11" ht="28.2" customHeight="1" x14ac:dyDescent="0.3">
      <c r="B82" s="160" t="s">
        <v>295</v>
      </c>
      <c r="C82" s="255"/>
      <c r="D82" s="257"/>
      <c r="E82" s="161" t="s">
        <v>296</v>
      </c>
      <c r="F82" s="251"/>
      <c r="G82" s="161" t="s">
        <v>0</v>
      </c>
      <c r="H82" s="255"/>
      <c r="I82" s="256"/>
      <c r="J82" s="257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5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762000</xdr:colOff>
                    <xdr:row>9</xdr:row>
                    <xdr:rowOff>22860</xdr:rowOff>
                  </from>
                  <to>
                    <xdr:col>2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762000</xdr:colOff>
                    <xdr:row>11</xdr:row>
                    <xdr:rowOff>22860</xdr:rowOff>
                  </from>
                  <to>
                    <xdr:col>2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762000</xdr:colOff>
                    <xdr:row>13</xdr:row>
                    <xdr:rowOff>22860</xdr:rowOff>
                  </from>
                  <to>
                    <xdr:col>2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762000</xdr:colOff>
                    <xdr:row>15</xdr:row>
                    <xdr:rowOff>22860</xdr:rowOff>
                  </from>
                  <to>
                    <xdr:col>2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762000</xdr:colOff>
                    <xdr:row>17</xdr:row>
                    <xdr:rowOff>22860</xdr:rowOff>
                  </from>
                  <to>
                    <xdr:col>2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762000</xdr:colOff>
                    <xdr:row>19</xdr:row>
                    <xdr:rowOff>22860</xdr:rowOff>
                  </from>
                  <to>
                    <xdr:col>2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762000</xdr:colOff>
                    <xdr:row>21</xdr:row>
                    <xdr:rowOff>22860</xdr:rowOff>
                  </from>
                  <to>
                    <xdr:col>2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762000</xdr:colOff>
                    <xdr:row>23</xdr:row>
                    <xdr:rowOff>22860</xdr:rowOff>
                  </from>
                  <to>
                    <xdr:col>2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762000</xdr:colOff>
                    <xdr:row>25</xdr:row>
                    <xdr:rowOff>22860</xdr:rowOff>
                  </from>
                  <to>
                    <xdr:col>2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762000</xdr:colOff>
                    <xdr:row>29</xdr:row>
                    <xdr:rowOff>22860</xdr:rowOff>
                  </from>
                  <to>
                    <xdr:col>2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762000</xdr:colOff>
                    <xdr:row>31</xdr:row>
                    <xdr:rowOff>22860</xdr:rowOff>
                  </from>
                  <to>
                    <xdr:col>2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762000</xdr:colOff>
                    <xdr:row>33</xdr:row>
                    <xdr:rowOff>22860</xdr:rowOff>
                  </from>
                  <to>
                    <xdr:col>2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762000</xdr:colOff>
                    <xdr:row>35</xdr:row>
                    <xdr:rowOff>22860</xdr:rowOff>
                  </from>
                  <to>
                    <xdr:col>2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762000</xdr:colOff>
                    <xdr:row>37</xdr:row>
                    <xdr:rowOff>22860</xdr:rowOff>
                  </from>
                  <to>
                    <xdr:col>2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762000</xdr:colOff>
                    <xdr:row>39</xdr:row>
                    <xdr:rowOff>22860</xdr:rowOff>
                  </from>
                  <to>
                    <xdr:col>2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762000</xdr:colOff>
                    <xdr:row>41</xdr:row>
                    <xdr:rowOff>22860</xdr:rowOff>
                  </from>
                  <to>
                    <xdr:col>2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762000</xdr:colOff>
                    <xdr:row>43</xdr:row>
                    <xdr:rowOff>22860</xdr:rowOff>
                  </from>
                  <to>
                    <xdr:col>2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762000</xdr:colOff>
                    <xdr:row>45</xdr:row>
                    <xdr:rowOff>22860</xdr:rowOff>
                  </from>
                  <to>
                    <xdr:col>2</xdr:col>
                    <xdr:colOff>1638300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762000</xdr:colOff>
                    <xdr:row>47</xdr:row>
                    <xdr:rowOff>22860</xdr:rowOff>
                  </from>
                  <to>
                    <xdr:col>2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762000</xdr:colOff>
                    <xdr:row>49</xdr:row>
                    <xdr:rowOff>22860</xdr:rowOff>
                  </from>
                  <to>
                    <xdr:col>2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762000</xdr:colOff>
                    <xdr:row>51</xdr:row>
                    <xdr:rowOff>22860</xdr:rowOff>
                  </from>
                  <to>
                    <xdr:col>2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762000</xdr:colOff>
                    <xdr:row>53</xdr:row>
                    <xdr:rowOff>22860</xdr:rowOff>
                  </from>
                  <to>
                    <xdr:col>2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762000</xdr:colOff>
                    <xdr:row>55</xdr:row>
                    <xdr:rowOff>0</xdr:rowOff>
                  </from>
                  <to>
                    <xdr:col>2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762000</xdr:colOff>
                    <xdr:row>57</xdr:row>
                    <xdr:rowOff>22860</xdr:rowOff>
                  </from>
                  <to>
                    <xdr:col>2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762000</xdr:colOff>
                    <xdr:row>59</xdr:row>
                    <xdr:rowOff>22860</xdr:rowOff>
                  </from>
                  <to>
                    <xdr:col>2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762000</xdr:colOff>
                    <xdr:row>9</xdr:row>
                    <xdr:rowOff>22860</xdr:rowOff>
                  </from>
                  <to>
                    <xdr:col>5</xdr:col>
                    <xdr:colOff>1630680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762000</xdr:colOff>
                    <xdr:row>11</xdr:row>
                    <xdr:rowOff>22860</xdr:rowOff>
                  </from>
                  <to>
                    <xdr:col>5</xdr:col>
                    <xdr:colOff>1630680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762000</xdr:colOff>
                    <xdr:row>13</xdr:row>
                    <xdr:rowOff>22860</xdr:rowOff>
                  </from>
                  <to>
                    <xdr:col>5</xdr:col>
                    <xdr:colOff>1630680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762000</xdr:colOff>
                    <xdr:row>15</xdr:row>
                    <xdr:rowOff>22860</xdr:rowOff>
                  </from>
                  <to>
                    <xdr:col>5</xdr:col>
                    <xdr:colOff>1630680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762000</xdr:colOff>
                    <xdr:row>17</xdr:row>
                    <xdr:rowOff>22860</xdr:rowOff>
                  </from>
                  <to>
                    <xdr:col>5</xdr:col>
                    <xdr:colOff>1630680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762000</xdr:colOff>
                    <xdr:row>19</xdr:row>
                    <xdr:rowOff>22860</xdr:rowOff>
                  </from>
                  <to>
                    <xdr:col>5</xdr:col>
                    <xdr:colOff>1630680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762000</xdr:colOff>
                    <xdr:row>21</xdr:row>
                    <xdr:rowOff>22860</xdr:rowOff>
                  </from>
                  <to>
                    <xdr:col>5</xdr:col>
                    <xdr:colOff>1630680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762000</xdr:colOff>
                    <xdr:row>23</xdr:row>
                    <xdr:rowOff>22860</xdr:rowOff>
                  </from>
                  <to>
                    <xdr:col>5</xdr:col>
                    <xdr:colOff>1630680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762000</xdr:colOff>
                    <xdr:row>25</xdr:row>
                    <xdr:rowOff>22860</xdr:rowOff>
                  </from>
                  <to>
                    <xdr:col>5</xdr:col>
                    <xdr:colOff>1630680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762000</xdr:colOff>
                    <xdr:row>27</xdr:row>
                    <xdr:rowOff>22860</xdr:rowOff>
                  </from>
                  <to>
                    <xdr:col>5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762000</xdr:colOff>
                    <xdr:row>29</xdr:row>
                    <xdr:rowOff>22860</xdr:rowOff>
                  </from>
                  <to>
                    <xdr:col>5</xdr:col>
                    <xdr:colOff>1630680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762000</xdr:colOff>
                    <xdr:row>31</xdr:row>
                    <xdr:rowOff>22860</xdr:rowOff>
                  </from>
                  <to>
                    <xdr:col>5</xdr:col>
                    <xdr:colOff>1630680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762000</xdr:colOff>
                    <xdr:row>33</xdr:row>
                    <xdr:rowOff>22860</xdr:rowOff>
                  </from>
                  <to>
                    <xdr:col>5</xdr:col>
                    <xdr:colOff>1630680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762000</xdr:colOff>
                    <xdr:row>35</xdr:row>
                    <xdr:rowOff>22860</xdr:rowOff>
                  </from>
                  <to>
                    <xdr:col>5</xdr:col>
                    <xdr:colOff>1630680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762000</xdr:colOff>
                    <xdr:row>37</xdr:row>
                    <xdr:rowOff>22860</xdr:rowOff>
                  </from>
                  <to>
                    <xdr:col>5</xdr:col>
                    <xdr:colOff>1630680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762000</xdr:colOff>
                    <xdr:row>39</xdr:row>
                    <xdr:rowOff>22860</xdr:rowOff>
                  </from>
                  <to>
                    <xdr:col>5</xdr:col>
                    <xdr:colOff>1630680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762000</xdr:colOff>
                    <xdr:row>41</xdr:row>
                    <xdr:rowOff>22860</xdr:rowOff>
                  </from>
                  <to>
                    <xdr:col>5</xdr:col>
                    <xdr:colOff>1630680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762000</xdr:colOff>
                    <xdr:row>43</xdr:row>
                    <xdr:rowOff>22860</xdr:rowOff>
                  </from>
                  <to>
                    <xdr:col>5</xdr:col>
                    <xdr:colOff>1630680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762000</xdr:colOff>
                    <xdr:row>45</xdr:row>
                    <xdr:rowOff>22860</xdr:rowOff>
                  </from>
                  <to>
                    <xdr:col>5</xdr:col>
                    <xdr:colOff>1630680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762000</xdr:colOff>
                    <xdr:row>51</xdr:row>
                    <xdr:rowOff>22860</xdr:rowOff>
                  </from>
                  <to>
                    <xdr:col>5</xdr:col>
                    <xdr:colOff>1630680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762000</xdr:colOff>
                    <xdr:row>55</xdr:row>
                    <xdr:rowOff>0</xdr:rowOff>
                  </from>
                  <to>
                    <xdr:col>5</xdr:col>
                    <xdr:colOff>1630680</xdr:colOff>
                    <xdr:row>55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762000</xdr:colOff>
                    <xdr:row>59</xdr:row>
                    <xdr:rowOff>22860</xdr:rowOff>
                  </from>
                  <to>
                    <xdr:col>5</xdr:col>
                    <xdr:colOff>1630680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762000</xdr:colOff>
                    <xdr:row>9</xdr:row>
                    <xdr:rowOff>22860</xdr:rowOff>
                  </from>
                  <to>
                    <xdr:col>9</xdr:col>
                    <xdr:colOff>571500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762000</xdr:colOff>
                    <xdr:row>11</xdr:row>
                    <xdr:rowOff>22860</xdr:rowOff>
                  </from>
                  <to>
                    <xdr:col>9</xdr:col>
                    <xdr:colOff>571500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762000</xdr:colOff>
                    <xdr:row>13</xdr:row>
                    <xdr:rowOff>22860</xdr:rowOff>
                  </from>
                  <to>
                    <xdr:col>9</xdr:col>
                    <xdr:colOff>571500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762000</xdr:colOff>
                    <xdr:row>15</xdr:row>
                    <xdr:rowOff>22860</xdr:rowOff>
                  </from>
                  <to>
                    <xdr:col>9</xdr:col>
                    <xdr:colOff>571500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762000</xdr:colOff>
                    <xdr:row>17</xdr:row>
                    <xdr:rowOff>22860</xdr:rowOff>
                  </from>
                  <to>
                    <xdr:col>9</xdr:col>
                    <xdr:colOff>571500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762000</xdr:colOff>
                    <xdr:row>19</xdr:row>
                    <xdr:rowOff>22860</xdr:rowOff>
                  </from>
                  <to>
                    <xdr:col>9</xdr:col>
                    <xdr:colOff>571500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762000</xdr:colOff>
                    <xdr:row>21</xdr:row>
                    <xdr:rowOff>22860</xdr:rowOff>
                  </from>
                  <to>
                    <xdr:col>9</xdr:col>
                    <xdr:colOff>571500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762000</xdr:colOff>
                    <xdr:row>23</xdr:row>
                    <xdr:rowOff>22860</xdr:rowOff>
                  </from>
                  <to>
                    <xdr:col>9</xdr:col>
                    <xdr:colOff>571500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762000</xdr:colOff>
                    <xdr:row>25</xdr:row>
                    <xdr:rowOff>22860</xdr:rowOff>
                  </from>
                  <to>
                    <xdr:col>9</xdr:col>
                    <xdr:colOff>571500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762000</xdr:colOff>
                    <xdr:row>27</xdr:row>
                    <xdr:rowOff>22860</xdr:rowOff>
                  </from>
                  <to>
                    <xdr:col>9</xdr:col>
                    <xdr:colOff>571500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762000</xdr:colOff>
                    <xdr:row>29</xdr:row>
                    <xdr:rowOff>22860</xdr:rowOff>
                  </from>
                  <to>
                    <xdr:col>9</xdr:col>
                    <xdr:colOff>571500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762000</xdr:colOff>
                    <xdr:row>31</xdr:row>
                    <xdr:rowOff>22860</xdr:rowOff>
                  </from>
                  <to>
                    <xdr:col>9</xdr:col>
                    <xdr:colOff>571500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762000</xdr:colOff>
                    <xdr:row>35</xdr:row>
                    <xdr:rowOff>22860</xdr:rowOff>
                  </from>
                  <to>
                    <xdr:col>9</xdr:col>
                    <xdr:colOff>571500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762000</xdr:colOff>
                    <xdr:row>37</xdr:row>
                    <xdr:rowOff>22860</xdr:rowOff>
                  </from>
                  <to>
                    <xdr:col>9</xdr:col>
                    <xdr:colOff>571500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762000</xdr:colOff>
                    <xdr:row>39</xdr:row>
                    <xdr:rowOff>22860</xdr:rowOff>
                  </from>
                  <to>
                    <xdr:col>9</xdr:col>
                    <xdr:colOff>571500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762000</xdr:colOff>
                    <xdr:row>41</xdr:row>
                    <xdr:rowOff>22860</xdr:rowOff>
                  </from>
                  <to>
                    <xdr:col>9</xdr:col>
                    <xdr:colOff>571500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762000</xdr:colOff>
                    <xdr:row>43</xdr:row>
                    <xdr:rowOff>22860</xdr:rowOff>
                  </from>
                  <to>
                    <xdr:col>9</xdr:col>
                    <xdr:colOff>571500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762000</xdr:colOff>
                    <xdr:row>45</xdr:row>
                    <xdr:rowOff>22860</xdr:rowOff>
                  </from>
                  <to>
                    <xdr:col>9</xdr:col>
                    <xdr:colOff>571500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762000</xdr:colOff>
                    <xdr:row>27</xdr:row>
                    <xdr:rowOff>22860</xdr:rowOff>
                  </from>
                  <to>
                    <xdr:col>2</xdr:col>
                    <xdr:colOff>1630680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762000</xdr:colOff>
                    <xdr:row>53</xdr:row>
                    <xdr:rowOff>22860</xdr:rowOff>
                  </from>
                  <to>
                    <xdr:col>5</xdr:col>
                    <xdr:colOff>1630680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762000</xdr:colOff>
                    <xdr:row>57</xdr:row>
                    <xdr:rowOff>22860</xdr:rowOff>
                  </from>
                  <to>
                    <xdr:col>5</xdr:col>
                    <xdr:colOff>1630680</xdr:colOff>
                    <xdr:row>58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762000</xdr:colOff>
                    <xdr:row>53</xdr:row>
                    <xdr:rowOff>22860</xdr:rowOff>
                  </from>
                  <to>
                    <xdr:col>9</xdr:col>
                    <xdr:colOff>571500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762000</xdr:colOff>
                    <xdr:row>47</xdr:row>
                    <xdr:rowOff>22860</xdr:rowOff>
                  </from>
                  <to>
                    <xdr:col>5</xdr:col>
                    <xdr:colOff>1630680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762000</xdr:colOff>
                    <xdr:row>49</xdr:row>
                    <xdr:rowOff>22860</xdr:rowOff>
                  </from>
                  <to>
                    <xdr:col>5</xdr:col>
                    <xdr:colOff>1630680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762000</xdr:colOff>
                    <xdr:row>61</xdr:row>
                    <xdr:rowOff>22860</xdr:rowOff>
                  </from>
                  <to>
                    <xdr:col>5</xdr:col>
                    <xdr:colOff>1630680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2</xdr:col>
                    <xdr:colOff>1638300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762000</xdr:colOff>
                    <xdr:row>61</xdr:row>
                    <xdr:rowOff>22860</xdr:rowOff>
                  </from>
                  <to>
                    <xdr:col>2</xdr:col>
                    <xdr:colOff>1638300</xdr:colOff>
                    <xdr:row>62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2</xdr:col>
                    <xdr:colOff>1638300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762000</xdr:colOff>
                    <xdr:row>65</xdr:row>
                    <xdr:rowOff>22860</xdr:rowOff>
                  </from>
                  <to>
                    <xdr:col>2</xdr:col>
                    <xdr:colOff>1638300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762000</xdr:colOff>
                    <xdr:row>65</xdr:row>
                    <xdr:rowOff>22860</xdr:rowOff>
                  </from>
                  <to>
                    <xdr:col>5</xdr:col>
                    <xdr:colOff>1630680</xdr:colOff>
                    <xdr:row>66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762000</xdr:colOff>
                    <xdr:row>63</xdr:row>
                    <xdr:rowOff>22860</xdr:rowOff>
                  </from>
                  <to>
                    <xdr:col>5</xdr:col>
                    <xdr:colOff>1630680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762000</xdr:colOff>
                    <xdr:row>33</xdr:row>
                    <xdr:rowOff>22860</xdr:rowOff>
                  </from>
                  <to>
                    <xdr:col>9</xdr:col>
                    <xdr:colOff>571500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2</xdr:col>
                    <xdr:colOff>1638300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762000</xdr:colOff>
                    <xdr:row>63</xdr:row>
                    <xdr:rowOff>22860</xdr:rowOff>
                  </from>
                  <to>
                    <xdr:col>2</xdr:col>
                    <xdr:colOff>1638300</xdr:colOff>
                    <xdr:row>64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762000</xdr:colOff>
                    <xdr:row>49</xdr:row>
                    <xdr:rowOff>22860</xdr:rowOff>
                  </from>
                  <to>
                    <xdr:col>9</xdr:col>
                    <xdr:colOff>571500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762000</xdr:colOff>
                    <xdr:row>51</xdr:row>
                    <xdr:rowOff>22860</xdr:rowOff>
                  </from>
                  <to>
                    <xdr:col>9</xdr:col>
                    <xdr:colOff>571500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762000</xdr:colOff>
                    <xdr:row>47</xdr:row>
                    <xdr:rowOff>22860</xdr:rowOff>
                  </from>
                  <to>
                    <xdr:col>9</xdr:col>
                    <xdr:colOff>571500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2025-04-04T16:05:40Z</cp:lastPrinted>
  <dcterms:created xsi:type="dcterms:W3CDTF">2001-08-01T17:12:05Z</dcterms:created>
  <dcterms:modified xsi:type="dcterms:W3CDTF">2025-04-04T16:05:45Z</dcterms:modified>
</cp:coreProperties>
</file>