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C9CCE68-57C6-491A-8274-A337CF675766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M58" i="10"/>
  <c r="G47" i="9" l="1"/>
  <c r="K3" i="9"/>
  <c r="L42" i="9"/>
  <c r="G12" i="9"/>
  <c r="K12" i="9"/>
  <c r="C12" i="9"/>
  <c r="I26" i="9"/>
  <c r="D63" i="9"/>
  <c r="K19" i="9"/>
  <c r="I19" i="9"/>
  <c r="G19" i="9"/>
  <c r="C19" i="9"/>
  <c r="K26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<sst xmlns="http://schemas.openxmlformats.org/spreadsheetml/2006/main" count="370" uniqueCount="336">
  <si>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</si>
  <si>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</si>
  <si>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</si>
  <si>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</si>
  <si>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</si>
  <si>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</si>
  <si>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</si>
  <si>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</si>
  <si>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</si>
  <si>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</si>
  <si>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</si>
  <si>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</si>
  <si>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</si>
  <si>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</si>
  <si>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</si>
  <si>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</si>
  <si>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</si>
  <si>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</si>
  <si>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</si>
  <si>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</si>
  <si>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</si>
  <si>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</si>
  <si>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</si>
  <si>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</si>
  <si>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</si>
  <si>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</si>
  <si>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</si>
  <si>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</si>
  <si>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</si>
  <si>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</si>
  <si>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</si>
  <si>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</si>
  <si>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</si>
  <si>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</si>
  <si>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</si>
  <si>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</si>
  <si>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</si>
  <si>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</si>
  <si>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</si>
  <si>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</si>
  <si>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</si>
  <si>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</si>
  <si>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</si>
  <si>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</si>
  <si>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</si>
  <si>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</si>
  <si>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</si>
  <si>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</si>
  <si>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</si>
  <si>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</si>
  <si>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</si>
  <si>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</si>
  <si>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</si>
  <si>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</si>
  <si>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</si>
  <si>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</si>
  <si>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</si>
  <si>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</si>
  <si>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</si>
  <si>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</si>
  <si>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</si>
  <si>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</si>
  <si>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</si>
  <si>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</si>
  <si>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</si>
  <si>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</si>
  <si>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</si>
  <si>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</si>
  <si>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</si>
  <si>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</si>
  <si>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</si>
  <si>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</si>
  <si>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</si>
  <si>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</si>
  <si>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</si>
  <si>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</si>
  <si>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</si>
  <si>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</si>
  <si>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</si>
  <si>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</si>
  <si>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</si>
  <si>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</si>
  <si>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</si>
  <si>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</si>
  <si>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</si>
  <si>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</si>
  <si>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</si>
  <si>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</si>
  <si>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</si>
  <si>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</si>
  <si>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</si>
  <si>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</si>
  <si>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</si>
  <si>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</si>
  <si>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</si>
  <si>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</si>
  <si>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</si>
  <si>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</si>
  <si>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</si>
  <si>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</si>
  <si>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</si>
  <si>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</si>
  <si>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</si>
  <si>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</si>
  <si>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</si>
  <si>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</si>
  <si>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</si>
  <si>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</si>
  <si>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</si>
  <si>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</si>
  <si>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</si>
  <si>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</si>
  <si>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</si>
  <si>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</si>
  <si>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</si>
  <si>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</si>
  <si>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</si>
  <si>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</si>
  <si>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</si>
  <si>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</si>
  <si>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</si>
  <si>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</si>
  <si>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</si>
  <si>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</si>
  <si>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</si>
  <si>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</si>
  <si>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</si>
  <si>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</si>
  <si>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</si>
  <si>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</si>
  <si>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</si>
  <si>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</si>
  <si>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</si>
  <si>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</si>
  <si>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</si>
  <si>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</si>
  <si>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</si>
  <si>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</si>
  <si>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</si>
  <si>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</si>
  <si>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</si>
  <si>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</si>
  <si>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</si>
  <si>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</si>
  <si>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</si>
  <si>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</si>
  <si>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</si>
  <si>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</si>
  <si>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</si>
  <si>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</si>
  <si>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</si>
  <si>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</si>
  <si>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</si>
  <si>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</si>
  <si>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</si>
  <si>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</si>
  <si>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</si>
  <si>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</si>
  <si>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</si>
  <si>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</si>
  <si>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</si>
  <si>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</si>
  <si>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</si>
  <si>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</si>
  <si>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</si>
  <si>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</si>
  <si>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</si>
  <si>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</si>
  <si>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</si>
  <si>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</si>
  <si>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</si>
  <si>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</si>
  <si>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</si>
  <si>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</si>
  <si>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</si>
  <si>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</si>
  <si>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</si>
  <si>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</si>
  <si>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</si>
  <si>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</si>
  <si>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</si>
  <si>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</si>
  <si>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</si>
  <si>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</si>
  <si>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</si>
  <si>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</si>
  <si>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</si>
  <si>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</si>
  <si>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</si>
  <si>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</si>
  <si>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</si>
  <si>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</si>
  <si>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</si>
  <si>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</si>
  <si>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</si>
  <si>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</si>
  <si>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</si>
  <si>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</si>
  <si>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</si>
  <si>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</si>
  <si>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</si>
  <si>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</si>
  <si>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</si>
  <si>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</si>
  <si>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</si>
  <si>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</si>
  <si>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</si>
  <si>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</si>
  <si>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</si>
  <si>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</si>
  <si>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</si>
  <si>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</si>
  <si>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</si>
  <si>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</si>
  <si>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</si>
  <si>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</si>
  <si>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</si>
  <si>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</si>
  <si>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</si>
  <si>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</si>
  <si>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</si>
  <si>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</si>
  <si>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</si>
  <si>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</si>
  <si>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</si>
  <si>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</si>
  <si>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</si>
  <si>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</si>
  <si>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</si>
  <si>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</si>
  <si>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</si>
  <si>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</si>
  <si>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</si>
  <si>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</si>
  <si>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</si>
  <si>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</si>
  <si>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</si>
  <si>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</si>
  <si>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</si>
  <si>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</si>
  <si>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</si>
  <si>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</si>
  <si>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</si>
  <si>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</si>
  <si>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</si>
  <si>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</si>
  <si>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</si>
  <si>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</si>
  <si>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</si>
  <si>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</si>
  <si>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</si>
  <si>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</si>
  <si>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</si>
  <si>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</si>
  <si>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</si>
  <si>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</si>
  <si>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</si>
  <si>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</si>
  <si>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</si>
  <si>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</si>
  <si>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</si>
  <si>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</si>
  <si>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</si>
  <si>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</si>
  <si>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</si>
  <si>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</si>
  <si>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</si>
  <si>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</si>
  <si>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</si>
  <si>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</si>
  <si>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</si>
  <si>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</si>
  <si>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</si>
  <si>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</si>
  <si>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</si>
  <si>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</si>
  <si>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</si>
  <si>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</si>
  <si>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</si>
  <si>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</si>
  <si>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</si>
  <si>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</si>
  <si>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</si>
  <si>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</si>
  <si>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</si>
  <si>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</si>
  <si>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</si>
  <si>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</si>
  <si>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</si>
  <si>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</si>
  <si>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</si>
  <si>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</si>
  <si>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</si>
  <si>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</si>
  <si>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</si>
  <si>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</si>
  <si>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</si>
  <si>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</si>
  <si>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</si>
  <si>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</si>
  <si>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</si>
  <si>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</si>
  <si>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</si>
  <si>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</si>
  <si>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</si>
  <si>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</si>
  <si>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</si>
  <si>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</si>
  <si>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</si>
  <si>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</si>
  <si>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</si>
  <si>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</si>
  <si>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 xml:space="preserve">inH2O [X ] inHg [   ] mbar [] </t>
  </si>
  <si>
    <t xml:space="preserve">SOLAS </t>
  </si>
  <si>
    <t>MESTRE MELO</t>
  </si>
  <si>
    <t>5017330300080</t>
  </si>
  <si>
    <t>MIN</t>
  </si>
  <si>
    <t>M12807</t>
  </si>
  <si>
    <t>12,736</t>
  </si>
  <si>
    <t>10,092</t>
  </si>
  <si>
    <t>03/10</t>
  </si>
  <si>
    <t>09-09-2010</t>
  </si>
  <si>
    <t>FERNANDO LIMA MELO</t>
  </si>
  <si>
    <t>18 Cº</t>
  </si>
  <si>
    <t>18  Cº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</si>
  <si>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</si>
  <si>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1020 Hpa</t>
  </si>
  <si>
    <t>PORTUGAL</t>
  </si>
  <si>
    <t>JULIO CORREA</t>
  </si>
  <si>
    <t>YES</t>
  </si>
  <si>
    <t>AZ25-143</t>
  </si>
  <si>
    <t>08/27</t>
  </si>
  <si>
    <t>(60)</t>
  </si>
  <si>
    <t>(3)</t>
  </si>
  <si>
    <t>08/28</t>
  </si>
  <si>
    <t>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</si>
</sst>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b/>
      <sz val="10"/>
      <color theme="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24" fillId="0" borderId="5" xfId="0" applyNumberFormat="1" applyFont="1" applyBorder="1" applyAlignment="1" applyProtection="1">
      <alignment horizontal="center" vertical="center"/>
      <protection locked="0"/>
    </xf>
    <xf numFmtId="1" fontId="24" fillId="0" borderId="6" xfId="0" applyNumberFormat="1" applyFont="1" applyBorder="1" applyAlignment="1" applyProtection="1">
      <alignment horizontal="center" vertical="center"/>
      <protection locked="0"/>
    </xf>
    <xf numFmtId="1" fontId="24" fillId="0" borderId="2" xfId="0" applyNumberFormat="1" applyFont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24" fillId="0" borderId="5" xfId="0" applyNumberFormat="1" applyFont="1" applyBorder="1" applyAlignment="1" applyProtection="1">
      <alignment horizontal="center" vertical="center"/>
      <protection locked="0"/>
    </xf>
    <xf numFmtId="49" fontId="24" fillId="0" borderId="6" xfId="0" applyNumberFormat="1" applyFont="1" applyBorder="1" applyAlignment="1" applyProtection="1">
      <alignment horizontal="center" vertical="center"/>
      <protection locked="0"/>
    </xf>
    <xf numFmtId="49" fontId="24" fillId="0" borderId="2" xfId="0" applyNumberFormat="1" applyFont="1" applyBorder="1" applyAlignment="1" applyProtection="1">
      <alignment horizontal="center" vertical="center"/>
      <protection locked="0"/>
    </xf>
    <xf numFmtId="49" fontId="24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35859</xdr:colOff>
      <xdr:row>2</xdr:row>
      <xdr:rowOff>190500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626659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129540</xdr:colOff>
      <xdr:row>57</xdr:row>
      <xdr:rowOff>22860</xdr:rowOff>
    </xdr:from>
    <xdr:to>
      <xdr:col>11</xdr:col>
      <xdr:colOff>797844</xdr:colOff>
      <xdr:row>67</xdr:row>
      <xdr:rowOff>137160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202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AZ25-143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RFD SEASAVA </v>
      </c>
      <c r="D12" s="156"/>
      <c r="E12" s="157"/>
      <c r="F12" s="147"/>
      <c r="G12" s="148">
        <f>QUADRO!J7</f>
        <v>8</v>
      </c>
      <c r="H12" s="147"/>
      <c r="I12" s="159" t="str">
        <f>QUADRO!C7</f>
        <v>5017330300080</v>
      </c>
      <c r="J12" s="160"/>
      <c r="K12" s="146" t="str">
        <f>QUADRO!G79</f>
        <v>09-09-2010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304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M12807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03/10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200" t="str">
        <f>QUADRO!F47</f>
        <v>MIN</v>
      </c>
      <c r="H26" s="201"/>
      <c r="I26" s="173" t="str">
        <f>QUADRO!C7</f>
        <v>5017330300080</v>
      </c>
      <c r="J26" s="174"/>
      <c r="K26" s="175">
        <f>QUADRO!F81+365</f>
        <v>46188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4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95" t="s">
        <v>313</v>
      </c>
      <c r="H34" s="196"/>
      <c r="I34" s="195"/>
      <c r="J34" s="196"/>
      <c r="K34" s="190">
        <f>QUADRO!J13</f>
        <v>0</v>
      </c>
      <c r="L34" s="191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97"/>
      <c r="H35" s="198"/>
      <c r="I35" s="197"/>
      <c r="J35" s="198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9"/>
      <c r="D37" s="199"/>
      <c r="E37" s="199"/>
      <c r="F37" s="19"/>
      <c r="G37" s="199"/>
      <c r="H37" s="199"/>
      <c r="I37" s="199"/>
      <c r="J37" s="199"/>
      <c r="K37" s="199"/>
      <c r="L37" s="199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9" t="s">
        <v>329</v>
      </c>
      <c r="F40" s="194"/>
      <c r="G40" s="35" t="s">
        <v>52</v>
      </c>
      <c r="H40" s="166" t="s">
        <v>303</v>
      </c>
      <c r="I40" s="35" t="s">
        <v>73</v>
      </c>
      <c r="J40" s="166" t="s">
        <v>329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2" t="s">
        <v>335</v>
      </c>
      <c r="F42" s="201"/>
      <c r="G42" s="35" t="s">
        <v>54</v>
      </c>
      <c r="H42" s="189"/>
      <c r="I42" s="35" t="s">
        <v>54</v>
      </c>
      <c r="J42" s="189" t="s">
        <v>335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4">
        <f>QUADRO!F81</f>
        <v>45823</v>
      </c>
      <c r="D47" s="210"/>
      <c r="E47" s="210"/>
      <c r="F47" s="211"/>
      <c r="G47" s="148" t="str">
        <f>QUADRO!C81</f>
        <v xml:space="preserve">OREY TÉCNICA </v>
      </c>
      <c r="H47" s="156"/>
      <c r="I47" s="156"/>
      <c r="J47" s="147"/>
      <c r="K47" s="204">
        <f>C47+365</f>
        <v>46188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12" t="s">
        <v>311</v>
      </c>
      <c r="G50" s="213"/>
      <c r="H50" s="213"/>
      <c r="I50" s="213"/>
      <c r="J50" s="213"/>
      <c r="K50" s="213"/>
      <c r="L50" s="214"/>
      <c r="M50" s="4"/>
    </row>
    <row r="51" spans="1:13" ht="12.75" customHeight="1" x14ac:dyDescent="0.25">
      <c r="A51" s="4"/>
      <c r="B51" s="4"/>
      <c r="C51" s="205"/>
      <c r="D51" s="206"/>
      <c r="E51" s="206"/>
      <c r="F51" s="212"/>
      <c r="G51" s="213"/>
      <c r="H51" s="213"/>
      <c r="I51" s="213"/>
      <c r="J51" s="213"/>
      <c r="K51" s="213"/>
      <c r="L51" s="214"/>
      <c r="M51" s="4"/>
    </row>
    <row r="52" spans="1:13" ht="15" customHeight="1" x14ac:dyDescent="0.25">
      <c r="A52" s="2"/>
      <c r="B52" s="2"/>
      <c r="C52" s="207"/>
      <c r="D52" s="208"/>
      <c r="E52" s="208"/>
      <c r="F52" s="215"/>
      <c r="G52" s="216"/>
      <c r="H52" s="216"/>
      <c r="I52" s="216"/>
      <c r="J52" s="216"/>
      <c r="K52" s="216"/>
      <c r="L52" s="21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8" t="s">
        <v>80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327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20" t="s">
        <v>74</v>
      </c>
      <c r="J59" s="220"/>
      <c r="K59" s="220"/>
      <c r="L59" s="220"/>
      <c r="M59" s="23"/>
    </row>
    <row r="60" spans="1:13" ht="9.75" customHeight="1" x14ac:dyDescent="0.25">
      <c r="A60" s="221"/>
      <c r="B60" s="221"/>
      <c r="C60" s="41"/>
      <c r="D60" s="143"/>
      <c r="E60" s="143"/>
      <c r="F60" s="45"/>
      <c r="G60" s="11"/>
      <c r="H60" s="3"/>
      <c r="I60" s="203" t="s">
        <v>84</v>
      </c>
      <c r="J60" s="203"/>
      <c r="K60" s="203"/>
      <c r="L60" s="203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MESTRE MELO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322</v>
      </c>
      <c r="E65" s="142"/>
      <c r="F65" s="142"/>
      <c r="G65" s="142"/>
      <c r="H65" s="142"/>
      <c r="I65" s="142"/>
      <c r="J65" s="219"/>
      <c r="K65" s="219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3.2" customHeight="1" x14ac:dyDescent="0.25">
      <c r="A69" s="138" t="s">
        <v>325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J44" sqref="J4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2" t="s">
        <v>88</v>
      </c>
      <c r="E3" s="222"/>
      <c r="F3" s="222"/>
      <c r="G3" s="222"/>
      <c r="H3" s="223" t="s">
        <v>89</v>
      </c>
      <c r="I3" s="225"/>
      <c r="J3" s="226"/>
    </row>
    <row r="4" spans="2:15" s="58" customFormat="1" ht="23.4" customHeight="1" x14ac:dyDescent="0.4">
      <c r="B4" s="56" t="s">
        <v>90</v>
      </c>
      <c r="C4" s="57"/>
      <c r="D4" s="227" t="s">
        <v>91</v>
      </c>
      <c r="E4" s="227"/>
      <c r="F4" s="227"/>
      <c r="G4" s="227"/>
      <c r="H4" s="224"/>
      <c r="I4" s="226"/>
      <c r="J4" s="226"/>
    </row>
    <row r="5" spans="2:15" s="58" customFormat="1" ht="23.4" customHeight="1" x14ac:dyDescent="0.4">
      <c r="B5" s="56" t="s">
        <v>92</v>
      </c>
      <c r="C5" s="56"/>
      <c r="H5" s="228" t="s">
        <v>93</v>
      </c>
      <c r="I5" s="230" t="s">
        <v>330</v>
      </c>
      <c r="J5" s="231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9"/>
      <c r="I6" s="232"/>
      <c r="J6" s="232"/>
    </row>
    <row r="7" spans="2:15" ht="23.4" customHeight="1" x14ac:dyDescent="0.3">
      <c r="B7" s="59" t="s">
        <v>94</v>
      </c>
      <c r="C7" s="233" t="s">
        <v>315</v>
      </c>
      <c r="D7" s="59" t="s">
        <v>95</v>
      </c>
      <c r="E7" s="235" t="s">
        <v>314</v>
      </c>
      <c r="F7" s="236"/>
      <c r="G7" s="60" t="s">
        <v>96</v>
      </c>
      <c r="H7" s="235" t="s">
        <v>305</v>
      </c>
      <c r="I7" s="247"/>
      <c r="J7" s="250">
        <v>8</v>
      </c>
    </row>
    <row r="8" spans="2:15" ht="23.4" customHeight="1" x14ac:dyDescent="0.3">
      <c r="B8" s="61" t="s">
        <v>97</v>
      </c>
      <c r="C8" s="234"/>
      <c r="D8" s="61" t="s">
        <v>98</v>
      </c>
      <c r="E8" s="237"/>
      <c r="F8" s="238"/>
      <c r="G8" s="62" t="s">
        <v>99</v>
      </c>
      <c r="H8" s="248"/>
      <c r="I8" s="249"/>
      <c r="J8" s="251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332</v>
      </c>
      <c r="J15" s="83" t="s">
        <v>331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333</v>
      </c>
      <c r="J19" s="83" t="s">
        <v>334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316</v>
      </c>
      <c r="G47" s="61"/>
      <c r="H47" s="81"/>
      <c r="I47" s="105"/>
      <c r="J47" s="106" t="s">
        <v>335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 t="s">
        <v>335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9" t="s">
        <v>234</v>
      </c>
      <c r="H56" s="240"/>
      <c r="I56" s="241" t="s">
        <v>317</v>
      </c>
      <c r="J56" s="243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5" t="s">
        <v>237</v>
      </c>
      <c r="H57" s="246"/>
      <c r="I57" s="242"/>
      <c r="J57" s="244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5" t="s">
        <v>240</v>
      </c>
      <c r="H58" s="256"/>
      <c r="I58" s="252" t="s">
        <v>318</v>
      </c>
      <c r="J58" s="253"/>
      <c r="M58" s="137">
        <f>I58-I62-I64</f>
        <v>10.076000000000001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5" t="s">
        <v>243</v>
      </c>
      <c r="H59" s="246"/>
      <c r="I59" s="242"/>
      <c r="J59" s="254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5" t="s">
        <v>246</v>
      </c>
      <c r="H60" s="256"/>
      <c r="I60" s="252" t="s">
        <v>319</v>
      </c>
      <c r="J60" s="253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5" t="s">
        <v>249</v>
      </c>
      <c r="H61" s="246"/>
      <c r="I61" s="242"/>
      <c r="J61" s="254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7" t="s">
        <v>252</v>
      </c>
      <c r="H62" s="256"/>
      <c r="I62" s="258">
        <v>2.5</v>
      </c>
      <c r="J62" s="260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2" t="s">
        <v>255</v>
      </c>
      <c r="H63" s="246"/>
      <c r="I63" s="259"/>
      <c r="J63" s="261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5" t="s">
        <v>258</v>
      </c>
      <c r="H64" s="256"/>
      <c r="I64" s="252" t="s">
        <v>308</v>
      </c>
      <c r="J64" s="253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5" t="s">
        <v>261</v>
      </c>
      <c r="H65" s="246"/>
      <c r="I65" s="242"/>
      <c r="J65" s="254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7" t="s">
        <v>264</v>
      </c>
      <c r="H66" s="256"/>
      <c r="I66" s="252" t="s">
        <v>320</v>
      </c>
      <c r="J66" s="253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2" t="s">
        <v>267</v>
      </c>
      <c r="H67" s="246"/>
      <c r="I67" s="242"/>
      <c r="J67" s="254"/>
    </row>
    <row r="68" spans="1:11" ht="5.25" customHeight="1" x14ac:dyDescent="0.3">
      <c r="B68" s="275"/>
      <c r="C68" s="276"/>
      <c r="D68" s="276"/>
      <c r="E68" s="276"/>
      <c r="F68" s="276"/>
      <c r="G68" s="276"/>
      <c r="H68" s="276"/>
      <c r="I68" s="276"/>
      <c r="J68" s="277"/>
    </row>
    <row r="69" spans="1:11" ht="21" x14ac:dyDescent="0.3">
      <c r="B69" s="263" t="s">
        <v>268</v>
      </c>
      <c r="C69" s="117" t="s">
        <v>269</v>
      </c>
      <c r="D69" s="267" t="s">
        <v>312</v>
      </c>
      <c r="E69" s="268"/>
      <c r="F69" s="118" t="s">
        <v>270</v>
      </c>
      <c r="G69" s="119" t="s">
        <v>271</v>
      </c>
      <c r="H69" s="271" t="s">
        <v>323</v>
      </c>
      <c r="I69" s="119" t="s">
        <v>272</v>
      </c>
      <c r="J69" s="273" t="s">
        <v>324</v>
      </c>
    </row>
    <row r="70" spans="1:11" ht="21.6" customHeight="1" x14ac:dyDescent="0.3">
      <c r="B70" s="264"/>
      <c r="C70" s="120" t="s">
        <v>273</v>
      </c>
      <c r="D70" s="269"/>
      <c r="E70" s="270"/>
      <c r="F70" s="121" t="s">
        <v>274</v>
      </c>
      <c r="G70" s="122" t="s">
        <v>275</v>
      </c>
      <c r="H70" s="272"/>
      <c r="I70" s="122" t="s">
        <v>276</v>
      </c>
      <c r="J70" s="274"/>
    </row>
    <row r="71" spans="1:11" ht="21" x14ac:dyDescent="0.3">
      <c r="B71" s="265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1" t="s">
        <v>326</v>
      </c>
      <c r="I71" s="119" t="s">
        <v>272</v>
      </c>
      <c r="J71" s="271" t="s">
        <v>326</v>
      </c>
    </row>
    <row r="72" spans="1:11" ht="42" customHeight="1" x14ac:dyDescent="0.3">
      <c r="B72" s="266"/>
      <c r="C72" s="125">
        <v>0.45833333333333331</v>
      </c>
      <c r="D72" s="125">
        <v>0.5</v>
      </c>
      <c r="E72" s="126" t="s">
        <v>281</v>
      </c>
      <c r="F72" s="121" t="s">
        <v>282</v>
      </c>
      <c r="G72" s="127" t="s">
        <v>275</v>
      </c>
      <c r="H72" s="272"/>
      <c r="I72" s="127" t="s">
        <v>276</v>
      </c>
      <c r="J72" s="272"/>
    </row>
    <row r="73" spans="1:11" ht="21.6" customHeight="1" x14ac:dyDescent="0.3">
      <c r="B73" s="128" t="s">
        <v>283</v>
      </c>
      <c r="C73" s="278">
        <v>86.9</v>
      </c>
      <c r="D73" s="278">
        <v>85</v>
      </c>
      <c r="E73" s="280">
        <f>1-(D73/C73)</f>
        <v>2.1864211737629535E-2</v>
      </c>
      <c r="F73" s="282" t="s">
        <v>284</v>
      </c>
      <c r="G73" s="285"/>
      <c r="H73" s="286"/>
      <c r="I73" s="286"/>
      <c r="J73" s="287"/>
    </row>
    <row r="74" spans="1:11" ht="21.6" customHeight="1" x14ac:dyDescent="0.3">
      <c r="B74" s="129" t="s">
        <v>285</v>
      </c>
      <c r="C74" s="279"/>
      <c r="D74" s="279"/>
      <c r="E74" s="281"/>
      <c r="F74" s="283"/>
      <c r="G74" s="288"/>
      <c r="H74" s="289"/>
      <c r="I74" s="289"/>
      <c r="J74" s="290"/>
    </row>
    <row r="75" spans="1:11" ht="21.6" customHeight="1" x14ac:dyDescent="0.3">
      <c r="B75" s="128" t="s">
        <v>286</v>
      </c>
      <c r="C75" s="278">
        <v>90.5</v>
      </c>
      <c r="D75" s="278">
        <v>88</v>
      </c>
      <c r="E75" s="280">
        <f>1-(D75/C75)</f>
        <v>2.7624309392265234E-2</v>
      </c>
      <c r="F75" s="283"/>
      <c r="G75" s="288"/>
      <c r="H75" s="289"/>
      <c r="I75" s="289"/>
      <c r="J75" s="290"/>
    </row>
    <row r="76" spans="1:11" ht="21.6" customHeight="1" x14ac:dyDescent="0.3">
      <c r="B76" s="129" t="s">
        <v>287</v>
      </c>
      <c r="C76" s="279"/>
      <c r="D76" s="279"/>
      <c r="E76" s="281"/>
      <c r="F76" s="283"/>
      <c r="G76" s="288"/>
      <c r="H76" s="289"/>
      <c r="I76" s="289"/>
      <c r="J76" s="290"/>
    </row>
    <row r="77" spans="1:11" ht="21" customHeight="1" x14ac:dyDescent="0.3">
      <c r="B77" s="128" t="s">
        <v>288</v>
      </c>
      <c r="C77" s="294"/>
      <c r="D77" s="294"/>
      <c r="E77" s="304" t="s">
        <v>310</v>
      </c>
      <c r="F77" s="283"/>
      <c r="G77" s="288"/>
      <c r="H77" s="289"/>
      <c r="I77" s="289"/>
      <c r="J77" s="290"/>
    </row>
    <row r="78" spans="1:11" ht="21" customHeight="1" x14ac:dyDescent="0.3">
      <c r="B78" s="129" t="s">
        <v>289</v>
      </c>
      <c r="C78" s="295"/>
      <c r="D78" s="295"/>
      <c r="E78" s="305"/>
      <c r="F78" s="284"/>
      <c r="G78" s="291"/>
      <c r="H78" s="292"/>
      <c r="I78" s="292"/>
      <c r="J78" s="293"/>
    </row>
    <row r="79" spans="1:11" s="74" customFormat="1" ht="21.6" customHeight="1" x14ac:dyDescent="0.3">
      <c r="A79" s="55"/>
      <c r="B79" s="128" t="s">
        <v>290</v>
      </c>
      <c r="C79" s="294"/>
      <c r="D79" s="294"/>
      <c r="E79" s="304" t="s">
        <v>1</v>
      </c>
      <c r="F79" s="130" t="s">
        <v>291</v>
      </c>
      <c r="G79" s="306" t="s">
        <v>321</v>
      </c>
      <c r="H79" s="308"/>
      <c r="I79" s="309"/>
      <c r="J79" s="310"/>
      <c r="K79" s="55"/>
    </row>
    <row r="80" spans="1:11" ht="21" customHeight="1" x14ac:dyDescent="0.3">
      <c r="B80" s="129" t="s">
        <v>292</v>
      </c>
      <c r="C80" s="295"/>
      <c r="D80" s="295"/>
      <c r="E80" s="305"/>
      <c r="F80" s="131" t="s">
        <v>293</v>
      </c>
      <c r="G80" s="307"/>
      <c r="H80" s="311"/>
      <c r="I80" s="312"/>
      <c r="J80" s="313"/>
    </row>
    <row r="81" spans="1:11" ht="30" customHeight="1" x14ac:dyDescent="0.3">
      <c r="A81" s="74"/>
      <c r="B81" s="132" t="s">
        <v>294</v>
      </c>
      <c r="C81" s="298" t="s">
        <v>309</v>
      </c>
      <c r="D81" s="300"/>
      <c r="E81" s="133" t="s">
        <v>295</v>
      </c>
      <c r="F81" s="296">
        <v>45823</v>
      </c>
      <c r="G81" s="133" t="s">
        <v>296</v>
      </c>
      <c r="H81" s="298" t="s">
        <v>328</v>
      </c>
      <c r="I81" s="299"/>
      <c r="J81" s="300"/>
      <c r="K81" s="74"/>
    </row>
    <row r="82" spans="1:11" ht="28.2" customHeight="1" x14ac:dyDescent="0.3">
      <c r="B82" s="134" t="s">
        <v>297</v>
      </c>
      <c r="C82" s="301"/>
      <c r="D82" s="303"/>
      <c r="E82" s="135" t="s">
        <v>298</v>
      </c>
      <c r="F82" s="297"/>
      <c r="G82" s="135" t="s">
        <v>0</v>
      </c>
      <c r="H82" s="301"/>
      <c r="I82" s="302"/>
      <c r="J82" s="303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2025-07-01T09:55:47Z</cp:lastPrinted>
  <dcterms:created xsi:type="dcterms:W3CDTF">2001-08-01T17:12:05Z</dcterms:created>
  <dcterms:modified xsi:type="dcterms:W3CDTF">2025-07-01T09:55:52Z</dcterms:modified>
</cp:coreProperties>
</file>