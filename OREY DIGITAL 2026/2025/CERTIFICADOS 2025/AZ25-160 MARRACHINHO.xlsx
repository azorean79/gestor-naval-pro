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FCA63A1-A8E0-4DDF-8B5F-6A3C5B94DC9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I19" i="9" l="1"/>
  <c r="G19" i="9"/>
  <c r="E75" i="10"/>
  <c r="E73" i="10"/>
  <c r="K26" i="9" l="1"/>
  <c r="G47" i="9"/>
  <c r="L42" i="9"/>
  <c r="K12" i="9"/>
  <c r="C12" i="9"/>
  <c r="I26" i="9"/>
  <c r="D63" i="9"/>
  <c r="K19" i="9"/>
  <c r="C19" i="9"/>
  <c r="C47" i="9"/>
  <c r="K47" i="9" s="1"/>
  <c r="G26" i="9"/>
  <c r="I12" i="9"/>
  <c r="K34" i="9"/>
</calcChain>
</file>

<file path=xl/sharedStrings.xml><?xml version="1.0" encoding="utf-8"?>
<sst xmlns="http://schemas.openxmlformats.org/spreadsheetml/2006/main" count="382" uniqueCount="338">
  <si>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</si>
  <si>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</si>
  <si>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</si>
  <si>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</si>
  <si>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</si>
  <si>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</si>
  <si>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</si>
  <si>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</si>
  <si>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</si>
  <si>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</si>
  <si>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</si>
  <si>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</si>
  <si>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</si>
  <si>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</si>
  <si>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</si>
  <si>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</si>
  <si>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</si>
  <si>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</si>
  <si>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</si>
  <si>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</si>
  <si>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</si>
  <si>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</si>
  <si>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</si>
  <si>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</si>
  <si>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</si>
  <si>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</si>
  <si>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</si>
  <si>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</si>
  <si>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</si>
  <si>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</si>
  <si>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</si>
  <si>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</si>
  <si>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</si>
  <si>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</si>
  <si>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</si>
  <si>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</si>
  <si>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</si>
  <si>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</si>
  <si>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</si>
  <si>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</si>
  <si>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</si>
  <si>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</si>
  <si>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</si>
  <si>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</si>
  <si>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</si>
  <si>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</si>
  <si>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</si>
  <si>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</si>
  <si>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</si>
  <si>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</si>
  <si>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</si>
  <si>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</si>
  <si>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</si>
  <si>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</si>
  <si>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</si>
  <si>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</si>
  <si>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</si>
  <si>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</si>
  <si>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</si>
  <si>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</si>
  <si>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</si>
  <si>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</si>
  <si>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</si>
  <si>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</si>
  <si>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</si>
  <si>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</si>
  <si>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</si>
  <si>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</si>
  <si>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</si>
  <si>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</si>
  <si>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</si>
  <si>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</si>
  <si>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</si>
  <si>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</si>
  <si>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</si>
  <si>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</si>
  <si>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</si>
  <si>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</si>
  <si>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</si>
  <si>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</si>
  <si>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</si>
  <si>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</si>
  <si>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</si>
  <si>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</si>
  <si>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</si>
  <si>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</si>
  <si>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</si>
  <si>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</si>
  <si>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</si>
  <si>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</si>
  <si>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</si>
  <si>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</si>
  <si>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</si>
  <si>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</si>
  <si>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</si>
  <si>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</si>
  <si>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</si>
  <si>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</si>
  <si>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</si>
  <si>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</si>
  <si>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</si>
  <si>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</si>
  <si>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</si>
  <si>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</si>
  <si>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</si>
  <si>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</si>
  <si>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</si>
  <si>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</si>
  <si>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</si>
  <si>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</si>
  <si>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</si>
  <si>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</si>
  <si>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</si>
  <si>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</si>
  <si>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</si>
  <si>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</si>
  <si>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</si>
  <si>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</si>
  <si>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</si>
  <si>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</si>
  <si>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</si>
  <si>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</si>
  <si>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</si>
  <si>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</si>
  <si>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</si>
  <si>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</si>
  <si>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</si>
  <si>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</si>
  <si>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</si>
  <si>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</si>
  <si>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</si>
  <si>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</si>
  <si>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</si>
  <si>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</si>
  <si>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</si>
  <si>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</si>
  <si>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</si>
  <si>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</si>
  <si>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</si>
  <si>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</si>
  <si>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</si>
  <si>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</si>
  <si>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</si>
  <si>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</si>
  <si>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</si>
  <si>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</si>
  <si>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</si>
  <si>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</si>
  <si>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</si>
  <si>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</si>
  <si>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</si>
  <si>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</si>
  <si>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</si>
  <si>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</si>
  <si>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</si>
  <si>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</si>
  <si>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</si>
  <si>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</si>
  <si>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</si>
  <si>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</si>
  <si>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</si>
  <si>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</si>
  <si>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</si>
  <si>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</si>
  <si>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</si>
  <si>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</si>
  <si>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</si>
  <si>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</si>
  <si>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</si>
  <si>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</si>
  <si>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</si>
  <si>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</si>
  <si>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</si>
  <si>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</si>
  <si>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</si>
  <si>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</si>
  <si>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</si>
  <si>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</si>
  <si>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</si>
  <si>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</si>
  <si>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</si>
  <si>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</si>
  <si>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</si>
  <si>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</si>
  <si>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</si>
  <si>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</si>
  <si>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</si>
  <si>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</si>
  <si>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</si>
  <si>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</si>
  <si>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</si>
  <si>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</si>
  <si>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</si>
  <si>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</si>
  <si>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</si>
  <si>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</si>
  <si>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</si>
  <si>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</si>
  <si>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</si>
  <si>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</si>
  <si>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</si>
  <si>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</si>
  <si>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</si>
  <si>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</si>
  <si>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</si>
  <si>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</si>
  <si>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</si>
  <si>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</si>
  <si>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</si>
  <si>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</si>
  <si>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</si>
  <si>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</si>
  <si>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</si>
  <si>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</si>
  <si>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</si>
  <si>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</si>
  <si>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</si>
  <si>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</si>
  <si>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</si>
  <si>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</si>
  <si>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</si>
  <si>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</si>
  <si>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</si>
  <si>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</si>
  <si>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</si>
  <si>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</si>
  <si>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</si>
  <si>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</si>
  <si>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</si>
  <si>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</si>
  <si>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</si>
  <si>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</si>
  <si>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</si>
  <si>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</si>
  <si>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</si>
  <si>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</si>
  <si>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</si>
  <si>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</si>
  <si>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</si>
  <si>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</si>
  <si>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</si>
  <si>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</si>
  <si>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</si>
  <si>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</si>
  <si>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</si>
  <si>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</si>
  <si>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</si>
  <si>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</si>
  <si>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</si>
  <si>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</si>
  <si>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</si>
  <si>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</si>
  <si>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</si>
  <si>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</si>
  <si>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</si>
  <si>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</si>
  <si>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</si>
  <si>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</si>
  <si>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</si>
  <si>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</si>
  <si>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</si>
  <si>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</si>
  <si>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</si>
  <si>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</si>
  <si>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</si>
  <si>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</si>
  <si>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</si>
  <si>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</si>
  <si>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</si>
  <si>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</si>
  <si>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</si>
  <si>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</si>
  <si>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</si>
  <si>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</si>
  <si>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</si>
  <si>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</si>
  <si>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</si>
  <si>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</si>
  <si>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</si>
  <si>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</si>
  <si>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</si>
  <si>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</si>
  <si>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</si>
  <si>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</si>
  <si>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</si>
  <si>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</si>
  <si>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</si>
  <si>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</si>
  <si>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</si>
  <si>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</si>
  <si>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</si>
  <si>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</si>
  <si>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</si>
  <si>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</si>
  <si>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</si>
  <si>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</si>
  <si>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</si>
  <si>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</si>
  <si>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</si>
  <si>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</si>
  <si>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</si>
  <si>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(4)</t>
  </si>
  <si>
    <t>NO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</si>
  <si>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</si>
  <si>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35 MT</t>
  </si>
  <si>
    <t>YES</t>
  </si>
  <si>
    <t>JULIO CORREA</t>
  </si>
  <si>
    <t>30410062 (6)</t>
  </si>
  <si>
    <t>30430005 (1)</t>
  </si>
  <si>
    <t xml:space="preserve">inH2O [ X ] inHg [   ] mbar [   ] </t>
  </si>
  <si>
    <t>20903022</t>
  </si>
  <si>
    <t/>
  </si>
  <si>
    <t xml:space="preserve">DSB      LR 97      </t>
  </si>
  <si>
    <t>MARRACHINHO</t>
  </si>
  <si>
    <t>60894</t>
  </si>
  <si>
    <t>OTS 65</t>
  </si>
  <si>
    <t>SOLAS "B"</t>
  </si>
  <si>
    <t>DK94</t>
  </si>
  <si>
    <t>09/2002</t>
  </si>
  <si>
    <t>MARIO JORGE VENTURA PACHECO</t>
  </si>
  <si>
    <t>PORTUGAL</t>
  </si>
  <si>
    <t>NR</t>
  </si>
  <si>
    <t>OREY TÉCNICA</t>
  </si>
  <si>
    <t>AZ23-122</t>
  </si>
  <si>
    <t>09/2026</t>
  </si>
  <si>
    <t>(1)</t>
  </si>
  <si>
    <t>Report Annexed</t>
  </si>
  <si>
    <t>07/25</t>
  </si>
  <si>
    <t>07/22</t>
  </si>
  <si>
    <t>AZ25-160</t>
  </si>
  <si>
    <t>08/2026</t>
  </si>
  <si>
    <t>07/2026</t>
  </si>
  <si>
    <t>12/2026</t>
  </si>
  <si>
    <t>08/2028</t>
  </si>
  <si>
    <t>05/2028</t>
  </si>
  <si>
    <t>(1)05/2028</t>
  </si>
  <si>
    <t>72956</t>
  </si>
  <si>
    <t>22-07-2025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</si>
</sst>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mm/yyyy"/>
    <numFmt numFmtId="166" formatCode="0.0"/>
    <numFmt numFmtId="167" formatCode="0.000\ &quot;Kg&quot;"/>
    <numFmt numFmtId="168" formatCode="0.0\ &quot;Cº&quot;"/>
    <numFmt numFmtId="169" formatCode="0\ &quot;Hpa&quot;"/>
    <numFmt numFmtId="170" formatCode="h:mm;@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0" xfId="1" applyFont="1"/>
    <xf numFmtId="0" fontId="15" fillId="0" borderId="0" xfId="1" applyFont="1" applyAlignment="1">
      <alignment horizontal="center"/>
    </xf>
    <xf numFmtId="49" fontId="12" fillId="0" borderId="0" xfId="1" applyNumberFormat="1" applyFont="1"/>
    <xf numFmtId="49" fontId="16" fillId="4" borderId="9" xfId="0" applyNumberFormat="1" applyFont="1" applyFill="1" applyBorder="1" applyAlignment="1" applyProtection="1">
      <alignment vertical="center"/>
      <protection locked="0"/>
    </xf>
    <xf numFmtId="49" fontId="19" fillId="4" borderId="10" xfId="0" applyNumberFormat="1" applyFont="1" applyFill="1" applyBorder="1" applyAlignment="1" applyProtection="1">
      <alignment vertical="center"/>
      <protection locked="0"/>
    </xf>
    <xf numFmtId="0" fontId="16" fillId="2" borderId="4" xfId="0" applyFont="1" applyFill="1" applyBorder="1" applyAlignment="1" applyProtection="1">
      <alignment horizontal="right" vertical="center"/>
      <protection locked="0"/>
    </xf>
    <xf numFmtId="49" fontId="16" fillId="3" borderId="1" xfId="0" applyNumberFormat="1" applyFont="1" applyFill="1" applyBorder="1" applyAlignment="1" applyProtection="1">
      <alignment horizontal="right" vertical="center"/>
      <protection locked="0"/>
    </xf>
    <xf numFmtId="0" fontId="16" fillId="3" borderId="1" xfId="0" applyFont="1" applyFill="1" applyBorder="1" applyAlignment="1" applyProtection="1">
      <alignment horizontal="right" vertical="center"/>
      <protection locked="0"/>
    </xf>
    <xf numFmtId="0" fontId="16" fillId="4" borderId="1" xfId="0" applyFont="1" applyFill="1" applyBorder="1" applyAlignment="1" applyProtection="1">
      <alignment horizontal="right" vertical="center"/>
      <protection locked="0"/>
    </xf>
    <xf numFmtId="49" fontId="16" fillId="4" borderId="1" xfId="0" applyNumberFormat="1" applyFont="1" applyFill="1" applyBorder="1" applyAlignment="1" applyProtection="1">
      <alignment horizontal="right" vertical="center"/>
      <protection locked="0"/>
    </xf>
    <xf numFmtId="49" fontId="16" fillId="0" borderId="1" xfId="0" applyNumberFormat="1" applyFont="1" applyBorder="1" applyAlignment="1" applyProtection="1">
      <alignment horizontal="right" vertical="center"/>
      <protection locked="0"/>
    </xf>
    <xf numFmtId="49" fontId="16" fillId="3" borderId="8" xfId="0" applyNumberFormat="1" applyFont="1" applyFill="1" applyBorder="1" applyAlignment="1" applyProtection="1">
      <alignment horizontal="right" vertical="center"/>
      <protection locked="0"/>
    </xf>
    <xf numFmtId="49" fontId="16" fillId="4" borderId="4" xfId="0" applyNumberFormat="1" applyFont="1" applyFill="1" applyBorder="1" applyAlignment="1" applyProtection="1">
      <alignment horizontal="right" vertical="center"/>
      <protection locked="0"/>
    </xf>
    <xf numFmtId="2" fontId="15" fillId="7" borderId="10" xfId="0" applyNumberFormat="1" applyFont="1" applyFill="1" applyBorder="1" applyAlignment="1" applyProtection="1">
      <alignment horizontal="left" vertical="center" wrapText="1"/>
      <protection locked="0"/>
    </xf>
    <xf numFmtId="49" fontId="16" fillId="4" borderId="2" xfId="0" applyNumberFormat="1" applyFont="1" applyFill="1" applyBorder="1" applyAlignment="1" applyProtection="1">
      <alignment horizontal="right" vertical="center"/>
      <protection locked="0"/>
    </xf>
    <xf numFmtId="170" fontId="12" fillId="4" borderId="12" xfId="0" applyNumberFormat="1" applyFont="1" applyFill="1" applyBorder="1" applyAlignment="1">
      <alignment horizontal="center" vertical="center"/>
    </xf>
    <xf numFmtId="2" fontId="16" fillId="7" borderId="9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0" applyFont="1" applyBorder="1" applyProtection="1">
      <protection locked="0"/>
    </xf>
    <xf numFmtId="0" fontId="12" fillId="7" borderId="5" xfId="0" applyFont="1" applyFill="1" applyBorder="1" applyProtection="1">
      <protection locked="0"/>
    </xf>
    <xf numFmtId="0" fontId="15" fillId="0" borderId="2" xfId="0" applyFont="1" applyBorder="1" applyProtection="1">
      <protection locked="0"/>
    </xf>
    <xf numFmtId="0" fontId="15" fillId="7" borderId="2" xfId="0" applyFont="1" applyFill="1" applyBorder="1" applyProtection="1">
      <protection locked="0"/>
    </xf>
    <xf numFmtId="0" fontId="15" fillId="0" borderId="3" xfId="0" applyFont="1" applyBorder="1" applyProtection="1">
      <protection locked="0"/>
    </xf>
    <xf numFmtId="0" fontId="12" fillId="0" borderId="0" xfId="0" applyFont="1" applyAlignment="1" applyProtection="1">
      <alignment horizontal="right"/>
      <protection locked="0"/>
    </xf>
    <xf numFmtId="0" fontId="15" fillId="0" borderId="0" xfId="0" applyFont="1" applyProtection="1">
      <protection locked="0"/>
    </xf>
    <xf numFmtId="0" fontId="20" fillId="7" borderId="0" xfId="0" applyFont="1" applyFill="1" applyProtection="1">
      <protection locked="0"/>
    </xf>
    <xf numFmtId="16" fontId="21" fillId="7" borderId="0" xfId="0" applyNumberFormat="1" applyFont="1" applyFill="1" applyAlignment="1" applyProtection="1">
      <alignment horizontal="left"/>
      <protection locked="0"/>
    </xf>
    <xf numFmtId="0" fontId="21" fillId="7" borderId="4" xfId="0" applyFont="1" applyFill="1" applyBorder="1" applyAlignment="1" applyProtection="1">
      <alignment horizontal="left"/>
      <protection locked="0"/>
    </xf>
    <xf numFmtId="0" fontId="12" fillId="2" borderId="5" xfId="0" applyFont="1" applyFill="1" applyBorder="1" applyProtection="1">
      <protection locked="0"/>
    </xf>
    <xf numFmtId="0" fontId="12" fillId="2" borderId="7" xfId="0" applyFont="1" applyFill="1" applyBorder="1" applyAlignment="1" applyProtection="1">
      <alignment horizontal="right"/>
      <protection locked="0"/>
    </xf>
    <xf numFmtId="0" fontId="12" fillId="0" borderId="7" xfId="0" applyFont="1" applyBorder="1" applyProtection="1">
      <protection locked="0"/>
    </xf>
    <xf numFmtId="0" fontId="16" fillId="0" borderId="6" xfId="0" applyFont="1" applyBorder="1" applyAlignment="1" applyProtection="1">
      <alignment horizontal="right"/>
      <protection locked="0"/>
    </xf>
    <xf numFmtId="0" fontId="16" fillId="0" borderId="7" xfId="0" applyFont="1" applyBorder="1" applyAlignment="1" applyProtection="1">
      <alignment horizontal="right"/>
      <protection locked="0"/>
    </xf>
    <xf numFmtId="0" fontId="16" fillId="0" borderId="6" xfId="0" applyFont="1" applyBorder="1" applyAlignment="1" applyProtection="1">
      <alignment horizontal="left"/>
      <protection locked="0"/>
    </xf>
    <xf numFmtId="0" fontId="15" fillId="2" borderId="3" xfId="0" applyFont="1" applyFill="1" applyBorder="1" applyProtection="1">
      <protection locked="0"/>
    </xf>
    <xf numFmtId="0" fontId="16" fillId="2" borderId="0" xfId="0" applyFont="1" applyFill="1" applyAlignment="1" applyProtection="1">
      <alignment horizontal="right"/>
      <protection locked="0"/>
    </xf>
    <xf numFmtId="0" fontId="16" fillId="0" borderId="4" xfId="0" applyFont="1" applyBorder="1" applyAlignment="1" applyProtection="1">
      <alignment horizontal="right"/>
      <protection locked="0"/>
    </xf>
    <xf numFmtId="0" fontId="16" fillId="0" borderId="0" xfId="0" applyFont="1" applyAlignment="1" applyProtection="1">
      <alignment horizontal="right"/>
      <protection locked="0"/>
    </xf>
    <xf numFmtId="0" fontId="16" fillId="0" borderId="4" xfId="0" applyFont="1" applyBorder="1" applyAlignment="1" applyProtection="1">
      <alignment horizontal="left"/>
      <protection locked="0"/>
    </xf>
    <xf numFmtId="0" fontId="16" fillId="0" borderId="1" xfId="0" applyFont="1" applyBorder="1" applyAlignment="1" applyProtection="1">
      <alignment horizontal="right"/>
      <protection locked="0"/>
    </xf>
    <xf numFmtId="0" fontId="15" fillId="0" borderId="8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2" fillId="0" borderId="0" xfId="0" applyFont="1" applyProtection="1">
      <protection locked="0"/>
    </xf>
    <xf numFmtId="16" fontId="16" fillId="0" borderId="6" xfId="0" applyNumberFormat="1" applyFont="1" applyBorder="1" applyAlignment="1" applyProtection="1">
      <alignment horizontal="left"/>
      <protection locked="0"/>
    </xf>
    <xf numFmtId="0" fontId="16" fillId="0" borderId="8" xfId="0" applyFont="1" applyBorder="1" applyAlignment="1" applyProtection="1">
      <alignment horizontal="right"/>
      <protection locked="0"/>
    </xf>
    <xf numFmtId="49" fontId="16" fillId="0" borderId="1" xfId="0" applyNumberFormat="1" applyFont="1" applyBorder="1" applyAlignment="1" applyProtection="1">
      <alignment horizontal="right"/>
      <protection locked="0"/>
    </xf>
    <xf numFmtId="0" fontId="16" fillId="0" borderId="1" xfId="0" applyFont="1" applyBorder="1" applyAlignment="1" applyProtection="1">
      <alignment horizontal="left"/>
      <protection locked="0"/>
    </xf>
    <xf numFmtId="0" fontId="12" fillId="2" borderId="3" xfId="0" applyFont="1" applyFill="1" applyBorder="1" applyProtection="1">
      <protection locked="0"/>
    </xf>
    <xf numFmtId="0" fontId="12" fillId="2" borderId="0" xfId="0" applyFont="1" applyFill="1" applyProtection="1">
      <protection locked="0"/>
    </xf>
    <xf numFmtId="0" fontId="16" fillId="2" borderId="4" xfId="0" applyFont="1" applyFill="1" applyBorder="1" applyAlignment="1" applyProtection="1">
      <alignment horizontal="right"/>
      <protection locked="0"/>
    </xf>
    <xf numFmtId="0" fontId="16" fillId="3" borderId="0" xfId="0" applyFont="1" applyFill="1" applyAlignment="1" applyProtection="1">
      <alignment horizontal="right"/>
      <protection locked="0"/>
    </xf>
    <xf numFmtId="0" fontId="15" fillId="2" borderId="0" xfId="0" applyFont="1" applyFill="1" applyProtection="1">
      <protection locked="0"/>
    </xf>
    <xf numFmtId="0" fontId="16" fillId="2" borderId="7" xfId="0" applyFont="1" applyFill="1" applyBorder="1" applyAlignment="1" applyProtection="1">
      <alignment horizontal="right"/>
      <protection locked="0"/>
    </xf>
    <xf numFmtId="0" fontId="12" fillId="2" borderId="6" xfId="0" applyFont="1" applyFill="1" applyBorder="1" applyProtection="1">
      <protection locked="0"/>
    </xf>
    <xf numFmtId="0" fontId="12" fillId="2" borderId="7" xfId="0" applyFont="1" applyFill="1" applyBorder="1" applyProtection="1">
      <protection locked="0"/>
    </xf>
    <xf numFmtId="0" fontId="15" fillId="2" borderId="2" xfId="0" applyFont="1" applyFill="1" applyBorder="1" applyProtection="1">
      <protection locked="0"/>
    </xf>
    <xf numFmtId="0" fontId="16" fillId="2" borderId="8" xfId="0" applyFont="1" applyFill="1" applyBorder="1" applyAlignment="1" applyProtection="1">
      <alignment horizontal="right"/>
      <protection locked="0"/>
    </xf>
    <xf numFmtId="0" fontId="15" fillId="2" borderId="1" xfId="0" applyFont="1" applyFill="1" applyBorder="1" applyProtection="1">
      <protection locked="0"/>
    </xf>
    <xf numFmtId="0" fontId="15" fillId="2" borderId="4" xfId="0" applyFont="1" applyFill="1" applyBorder="1" applyProtection="1">
      <protection locked="0"/>
    </xf>
    <xf numFmtId="0" fontId="16" fillId="0" borderId="5" xfId="0" applyFont="1" applyBorder="1" applyAlignment="1" applyProtection="1">
      <alignment horizontal="left"/>
      <protection locked="0"/>
    </xf>
    <xf numFmtId="0" fontId="12" fillId="0" borderId="6" xfId="0" applyFont="1" applyBorder="1" applyProtection="1">
      <protection locked="0"/>
    </xf>
    <xf numFmtId="0" fontId="16" fillId="0" borderId="0" xfId="0" applyFont="1" applyAlignment="1" applyProtection="1">
      <alignment horizontal="left"/>
      <protection locked="0"/>
    </xf>
    <xf numFmtId="0" fontId="15" fillId="0" borderId="1" xfId="0" applyFont="1" applyBorder="1" applyProtection="1">
      <protection locked="0"/>
    </xf>
    <xf numFmtId="0" fontId="16" fillId="0" borderId="7" xfId="0" applyFont="1" applyBorder="1" applyAlignment="1" applyProtection="1">
      <alignment horizontal="left"/>
      <protection locked="0"/>
    </xf>
    <xf numFmtId="0" fontId="15" fillId="0" borderId="4" xfId="0" applyFont="1" applyBorder="1" applyProtection="1">
      <protection locked="0"/>
    </xf>
    <xf numFmtId="0" fontId="15" fillId="2" borderId="8" xfId="0" applyFont="1" applyFill="1" applyBorder="1" applyProtection="1">
      <protection locked="0"/>
    </xf>
    <xf numFmtId="0" fontId="16" fillId="2" borderId="6" xfId="0" applyFont="1" applyFill="1" applyBorder="1" applyAlignment="1" applyProtection="1">
      <alignment horizontal="right"/>
      <protection locked="0"/>
    </xf>
    <xf numFmtId="0" fontId="16" fillId="2" borderId="1" xfId="0" applyFont="1" applyFill="1" applyBorder="1" applyAlignment="1" applyProtection="1">
      <alignment horizontal="right"/>
      <protection locked="0"/>
    </xf>
    <xf numFmtId="0" fontId="15" fillId="0" borderId="7" xfId="0" applyFont="1" applyBorder="1" applyProtection="1">
      <protection locked="0"/>
    </xf>
    <xf numFmtId="0" fontId="12" fillId="4" borderId="9" xfId="0" applyFont="1" applyFill="1" applyBorder="1" applyAlignment="1" applyProtection="1">
      <alignment horizontal="left"/>
      <protection locked="0"/>
    </xf>
    <xf numFmtId="0" fontId="12" fillId="4" borderId="5" xfId="0" applyFont="1" applyFill="1" applyBorder="1" applyAlignment="1" applyProtection="1">
      <alignment horizontal="left"/>
      <protection locked="0"/>
    </xf>
    <xf numFmtId="0" fontId="15" fillId="4" borderId="10" xfId="0" applyFont="1" applyFill="1" applyBorder="1" applyAlignment="1" applyProtection="1">
      <alignment horizontal="left"/>
      <protection locked="0"/>
    </xf>
    <xf numFmtId="0" fontId="15" fillId="4" borderId="2" xfId="0" applyFont="1" applyFill="1" applyBorder="1" applyAlignment="1" applyProtection="1">
      <alignment horizontal="left"/>
      <protection locked="0"/>
    </xf>
    <xf numFmtId="0" fontId="12" fillId="4" borderId="11" xfId="0" applyFont="1" applyFill="1" applyBorder="1" applyAlignment="1" applyProtection="1">
      <alignment horizontal="center"/>
      <protection locked="0"/>
    </xf>
    <xf numFmtId="0" fontId="12" fillId="4" borderId="9" xfId="0" applyFont="1" applyFill="1" applyBorder="1" applyAlignment="1" applyProtection="1">
      <alignment horizontal="center"/>
      <protection locked="0"/>
    </xf>
    <xf numFmtId="0" fontId="15" fillId="4" borderId="10" xfId="0" applyFont="1" applyFill="1" applyBorder="1" applyAlignment="1" applyProtection="1">
      <alignment horizontal="left" vertical="center"/>
      <protection locked="0"/>
    </xf>
    <xf numFmtId="0" fontId="15" fillId="4" borderId="2" xfId="0" applyFont="1" applyFill="1" applyBorder="1" applyAlignment="1" applyProtection="1">
      <alignment horizontal="left" vertical="center"/>
      <protection locked="0"/>
    </xf>
    <xf numFmtId="0" fontId="12" fillId="4" borderId="5" xfId="0" applyFont="1" applyFill="1" applyBorder="1" applyProtection="1">
      <protection locked="0"/>
    </xf>
    <xf numFmtId="0" fontId="15" fillId="4" borderId="2" xfId="0" applyFont="1" applyFill="1" applyBorder="1" applyProtection="1">
      <protection locked="0"/>
    </xf>
    <xf numFmtId="0" fontId="12" fillId="8" borderId="5" xfId="0" applyFont="1" applyFill="1" applyBorder="1" applyAlignment="1" applyProtection="1">
      <alignment horizontal="left" vertical="center"/>
      <protection locked="0"/>
    </xf>
    <xf numFmtId="0" fontId="12" fillId="8" borderId="7" xfId="0" applyFont="1" applyFill="1" applyBorder="1" applyAlignment="1" applyProtection="1">
      <alignment horizontal="left" vertical="center"/>
      <protection locked="0"/>
    </xf>
    <xf numFmtId="0" fontId="15" fillId="8" borderId="2" xfId="0" applyFont="1" applyFill="1" applyBorder="1" applyAlignment="1" applyProtection="1">
      <alignment horizontal="left" vertical="center"/>
      <protection locked="0"/>
    </xf>
    <xf numFmtId="0" fontId="15" fillId="8" borderId="8" xfId="0" applyFont="1" applyFill="1" applyBorder="1" applyAlignment="1" applyProtection="1">
      <alignment horizontal="left" vertical="center"/>
      <protection locked="0"/>
    </xf>
    <xf numFmtId="17" fontId="13" fillId="0" borderId="6" xfId="0" applyNumberFormat="1" applyFont="1" applyBorder="1" applyAlignment="1">
      <alignment horizontal="left" vertical="top"/>
    </xf>
    <xf numFmtId="17" fontId="3" fillId="0" borderId="16" xfId="0" applyNumberFormat="1" applyFont="1" applyBorder="1" applyAlignment="1">
      <alignment horizontal="left" vertical="center"/>
    </xf>
    <xf numFmtId="17" fontId="2" fillId="0" borderId="0" xfId="0" applyNumberFormat="1" applyFont="1" applyAlignment="1">
      <alignment horizontal="left" vertical="center"/>
    </xf>
    <xf numFmtId="17" fontId="13" fillId="0" borderId="7" xfId="0" applyNumberFormat="1" applyFont="1" applyBorder="1" applyAlignment="1">
      <alignment horizontal="center" vertical="center"/>
    </xf>
    <xf numFmtId="14" fontId="0" fillId="0" borderId="0" xfId="0" applyNumberForma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17" fillId="8" borderId="5" xfId="0" applyFont="1" applyFill="1" applyBorder="1" applyAlignment="1" applyProtection="1">
      <alignment horizontal="center" vertical="center"/>
      <protection locked="0"/>
    </xf>
    <xf numFmtId="0" fontId="17" fillId="8" borderId="7" xfId="0" applyFont="1" applyFill="1" applyBorder="1" applyAlignment="1" applyProtection="1">
      <alignment horizontal="center" vertical="center"/>
      <protection locked="0"/>
    </xf>
    <xf numFmtId="0" fontId="17" fillId="8" borderId="6" xfId="0" applyFont="1" applyFill="1" applyBorder="1" applyAlignment="1" applyProtection="1">
      <alignment horizontal="center" vertical="center"/>
      <protection locked="0"/>
    </xf>
    <xf numFmtId="0" fontId="17" fillId="8" borderId="2" xfId="0" applyFont="1" applyFill="1" applyBorder="1" applyAlignment="1" applyProtection="1">
      <alignment horizontal="center" vertical="center"/>
      <protection locked="0"/>
    </xf>
    <xf numFmtId="0" fontId="17" fillId="8" borderId="8" xfId="0" applyFont="1" applyFill="1" applyBorder="1" applyAlignment="1" applyProtection="1">
      <alignment horizontal="center" vertical="center"/>
      <protection locked="0"/>
    </xf>
    <xf numFmtId="0" fontId="17" fillId="8" borderId="1" xfId="0" applyFont="1" applyFill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left"/>
      <protection locked="0"/>
    </xf>
    <xf numFmtId="0" fontId="12" fillId="0" borderId="6" xfId="0" applyFont="1" applyBorder="1" applyAlignment="1" applyProtection="1">
      <alignment horizontal="left"/>
      <protection locked="0"/>
    </xf>
    <xf numFmtId="167" fontId="16" fillId="5" borderId="9" xfId="0" applyNumberFormat="1" applyFont="1" applyFill="1" applyBorder="1" applyAlignment="1">
      <alignment horizontal="center" vertical="center"/>
    </xf>
    <xf numFmtId="167" fontId="16" fillId="5" borderId="10" xfId="0" applyNumberFormat="1" applyFont="1" applyFill="1" applyBorder="1" applyAlignment="1">
      <alignment horizontal="center" vertical="center"/>
    </xf>
    <xf numFmtId="0" fontId="16" fillId="6" borderId="9" xfId="0" applyFont="1" applyFill="1" applyBorder="1" applyAlignment="1" applyProtection="1">
      <alignment horizontal="center" vertical="center"/>
      <protection locked="0"/>
    </xf>
    <xf numFmtId="0" fontId="16" fillId="6" borderId="10" xfId="0" applyFont="1" applyFill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left"/>
      <protection locked="0"/>
    </xf>
    <xf numFmtId="0" fontId="15" fillId="0" borderId="1" xfId="0" applyFont="1" applyBorder="1" applyAlignment="1" applyProtection="1">
      <alignment horizontal="left"/>
      <protection locked="0"/>
    </xf>
    <xf numFmtId="0" fontId="16" fillId="6" borderId="11" xfId="0" applyFont="1" applyFill="1" applyBorder="1" applyAlignment="1" applyProtection="1">
      <alignment horizontal="center" vertical="center"/>
      <protection locked="0"/>
    </xf>
    <xf numFmtId="49" fontId="17" fillId="8" borderId="9" xfId="0" applyNumberFormat="1" applyFont="1" applyFill="1" applyBorder="1" applyAlignment="1" applyProtection="1">
      <alignment horizontal="center" vertical="center"/>
      <protection locked="0"/>
    </xf>
    <xf numFmtId="49" fontId="18" fillId="8" borderId="10" xfId="0" applyNumberFormat="1" applyFont="1" applyFill="1" applyBorder="1" applyAlignment="1" applyProtection="1">
      <alignment horizontal="center" vertical="center"/>
      <protection locked="0"/>
    </xf>
    <xf numFmtId="0" fontId="18" fillId="8" borderId="6" xfId="0" applyFont="1" applyFill="1" applyBorder="1" applyAlignment="1" applyProtection="1">
      <alignment horizontal="center" vertical="center"/>
      <protection locked="0"/>
    </xf>
    <xf numFmtId="0" fontId="18" fillId="8" borderId="2" xfId="0" applyFont="1" applyFill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center" vertical="center"/>
      <protection locked="0"/>
    </xf>
    <xf numFmtId="166" fontId="12" fillId="0" borderId="9" xfId="0" applyNumberFormat="1" applyFont="1" applyBorder="1" applyAlignment="1" applyProtection="1">
      <alignment horizontal="center" vertical="center"/>
      <protection locked="0"/>
    </xf>
    <xf numFmtId="166" fontId="12" fillId="0" borderId="10" xfId="0" applyNumberFormat="1" applyFont="1" applyBorder="1" applyAlignment="1" applyProtection="1">
      <alignment horizontal="center" vertical="center"/>
      <protection locked="0"/>
    </xf>
    <xf numFmtId="10" fontId="12" fillId="0" borderId="6" xfId="0" applyNumberFormat="1" applyFont="1" applyBorder="1" applyAlignment="1" applyProtection="1">
      <alignment horizontal="center" vertical="center"/>
      <protection locked="0"/>
    </xf>
    <xf numFmtId="10" fontId="12" fillId="0" borderId="1" xfId="0" applyNumberFormat="1" applyFont="1" applyBorder="1" applyAlignment="1" applyProtection="1">
      <alignment horizontal="center" vertical="center"/>
      <protection locked="0"/>
    </xf>
    <xf numFmtId="0" fontId="12" fillId="7" borderId="5" xfId="0" applyFont="1" applyFill="1" applyBorder="1" applyAlignment="1" applyProtection="1">
      <alignment horizontal="center" vertical="center"/>
      <protection locked="0"/>
    </xf>
    <xf numFmtId="0" fontId="12" fillId="7" borderId="6" xfId="0" applyFont="1" applyFill="1" applyBorder="1" applyAlignment="1" applyProtection="1">
      <alignment horizontal="center" vertical="center"/>
      <protection locked="0"/>
    </xf>
    <xf numFmtId="0" fontId="12" fillId="7" borderId="2" xfId="0" applyFont="1" applyFill="1" applyBorder="1" applyAlignment="1" applyProtection="1">
      <alignment horizontal="center" vertical="center"/>
      <protection locked="0"/>
    </xf>
    <xf numFmtId="0" fontId="12" fillId="7" borderId="1" xfId="0" applyFont="1" applyFill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49" fontId="16" fillId="7" borderId="9" xfId="0" applyNumberFormat="1" applyFont="1" applyFill="1" applyBorder="1" applyAlignment="1" applyProtection="1">
      <alignment horizontal="center" vertical="center"/>
      <protection locked="0"/>
    </xf>
    <xf numFmtId="49" fontId="0" fillId="7" borderId="10" xfId="0" applyNumberFormat="1" applyFill="1" applyBorder="1" applyAlignment="1" applyProtection="1">
      <alignment horizontal="center" vertical="center"/>
      <protection locked="0"/>
    </xf>
    <xf numFmtId="49" fontId="16" fillId="5" borderId="9" xfId="0" applyNumberFormat="1" applyFont="1" applyFill="1" applyBorder="1" applyAlignment="1">
      <alignment horizontal="center" vertical="center"/>
    </xf>
    <xf numFmtId="49" fontId="16" fillId="5" borderId="10" xfId="0" applyNumberFormat="1" applyFont="1" applyFill="1" applyBorder="1" applyAlignment="1">
      <alignment horizontal="center" vertical="center"/>
    </xf>
    <xf numFmtId="49" fontId="16" fillId="7" borderId="5" xfId="0" applyNumberFormat="1" applyFont="1" applyFill="1" applyBorder="1" applyAlignment="1" applyProtection="1">
      <alignment horizontal="center" vertical="center"/>
      <protection locked="0"/>
    </xf>
    <xf numFmtId="49" fontId="16" fillId="7" borderId="7" xfId="0" applyNumberFormat="1" applyFont="1" applyFill="1" applyBorder="1" applyAlignment="1" applyProtection="1">
      <alignment horizontal="center" vertical="center"/>
      <protection locked="0"/>
    </xf>
    <xf numFmtId="49" fontId="16" fillId="7" borderId="6" xfId="0" applyNumberFormat="1" applyFont="1" applyFill="1" applyBorder="1" applyAlignment="1" applyProtection="1">
      <alignment horizontal="center" vertical="center"/>
      <protection locked="0"/>
    </xf>
    <xf numFmtId="49" fontId="16" fillId="7" borderId="2" xfId="0" applyNumberFormat="1" applyFont="1" applyFill="1" applyBorder="1" applyAlignment="1" applyProtection="1">
      <alignment horizontal="center" vertical="center"/>
      <protection locked="0"/>
    </xf>
    <xf numFmtId="49" fontId="16" fillId="7" borderId="8" xfId="0" applyNumberFormat="1" applyFont="1" applyFill="1" applyBorder="1" applyAlignment="1" applyProtection="1">
      <alignment horizontal="center" vertical="center"/>
      <protection locked="0"/>
    </xf>
    <xf numFmtId="49" fontId="16" fillId="7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2" fontId="16" fillId="7" borderId="9" xfId="0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0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0" applyNumberFormat="1" applyFont="1" applyFill="1" applyBorder="1" applyAlignment="1" applyProtection="1">
      <alignment horizontal="left" vertical="center" wrapText="1"/>
      <protection locked="0"/>
    </xf>
    <xf numFmtId="168" fontId="12" fillId="0" borderId="9" xfId="0" applyNumberFormat="1" applyFont="1" applyBorder="1" applyAlignment="1">
      <alignment horizontal="center" vertical="center"/>
    </xf>
    <xf numFmtId="168" fontId="12" fillId="0" borderId="10" xfId="0" applyNumberFormat="1" applyFont="1" applyBorder="1" applyAlignment="1">
      <alignment horizontal="center" vertical="center"/>
    </xf>
    <xf numFmtId="169" fontId="12" fillId="0" borderId="9" xfId="0" applyNumberFormat="1" applyFont="1" applyBorder="1" applyAlignment="1">
      <alignment horizontal="center" vertical="center"/>
    </xf>
    <xf numFmtId="169" fontId="12" fillId="0" borderId="10" xfId="0" applyNumberFormat="1" applyFont="1" applyBorder="1" applyAlignment="1">
      <alignment horizontal="center" vertical="center"/>
    </xf>
    <xf numFmtId="0" fontId="15" fillId="0" borderId="8" xfId="0" applyFont="1" applyBorder="1" applyAlignment="1" applyProtection="1">
      <alignment horizontal="left"/>
      <protection locked="0"/>
    </xf>
    <xf numFmtId="0" fontId="15" fillId="7" borderId="5" xfId="0" applyFont="1" applyFill="1" applyBorder="1" applyAlignment="1" applyProtection="1">
      <alignment horizontal="center"/>
      <protection locked="0"/>
    </xf>
    <xf numFmtId="0" fontId="15" fillId="7" borderId="7" xfId="0" applyFont="1" applyFill="1" applyBorder="1" applyAlignment="1" applyProtection="1">
      <alignment horizontal="center"/>
      <protection locked="0"/>
    </xf>
    <xf numFmtId="0" fontId="15" fillId="7" borderId="6" xfId="0" applyFont="1" applyFill="1" applyBorder="1" applyAlignment="1" applyProtection="1">
      <alignment horizontal="center"/>
      <protection locked="0"/>
    </xf>
    <xf numFmtId="164" fontId="16" fillId="6" borderId="9" xfId="0" applyNumberFormat="1" applyFont="1" applyFill="1" applyBorder="1" applyAlignment="1" applyProtection="1">
      <alignment horizontal="center" vertical="center"/>
      <protection locked="0"/>
    </xf>
    <xf numFmtId="164" fontId="16" fillId="6" borderId="10" xfId="0" applyNumberFormat="1" applyFont="1" applyFill="1" applyBorder="1" applyAlignment="1" applyProtection="1">
      <alignment horizontal="center" vertical="center"/>
      <protection locked="0"/>
    </xf>
    <xf numFmtId="0" fontId="12" fillId="4" borderId="5" xfId="0" applyFont="1" applyFill="1" applyBorder="1" applyAlignment="1" applyProtection="1">
      <alignment horizontal="left" vertical="center" wrapText="1"/>
      <protection locked="0"/>
    </xf>
    <xf numFmtId="0" fontId="15" fillId="4" borderId="3" xfId="0" applyFont="1" applyFill="1" applyBorder="1" applyAlignment="1" applyProtection="1">
      <alignment horizontal="left" vertical="center" wrapText="1"/>
      <protection locked="0"/>
    </xf>
    <xf numFmtId="0" fontId="15" fillId="4" borderId="11" xfId="0" applyFont="1" applyFill="1" applyBorder="1" applyAlignment="1" applyProtection="1">
      <alignment horizontal="left" vertical="center" wrapText="1"/>
      <protection locked="0"/>
    </xf>
    <xf numFmtId="0" fontId="15" fillId="4" borderId="10" xfId="0" applyFont="1" applyFill="1" applyBorder="1" applyAlignment="1" applyProtection="1">
      <alignment horizontal="left" vertical="center" wrapText="1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6" fillId="6" borderId="9" xfId="0" applyNumberFormat="1" applyFont="1" applyFill="1" applyBorder="1" applyAlignment="1" applyProtection="1">
      <alignment horizontal="center" vertical="center"/>
      <protection locked="0"/>
    </xf>
    <xf numFmtId="49" fontId="16" fillId="6" borderId="10" xfId="0" applyNumberFormat="1" applyFont="1" applyFill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4"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FF00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checked="Checked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checked="Checked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16</xdr:col>
      <xdr:colOff>449580</xdr:colOff>
      <xdr:row>47</xdr:row>
      <xdr:rowOff>60960</xdr:rowOff>
    </xdr:from>
    <xdr:to>
      <xdr:col>22</xdr:col>
      <xdr:colOff>66324</xdr:colOff>
      <xdr:row>56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6120" y="758190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9</xdr:row>
          <xdr:rowOff>30480</xdr:rowOff>
        </xdr:from>
        <xdr:to>
          <xdr:col>3</xdr:col>
          <xdr:colOff>0</xdr:colOff>
          <xdr:row>10</xdr:row>
          <xdr:rowOff>7620</xdr:rowOff>
        </xdr:to>
        <xdr:sp macro="" textlink="">
          <xdr:nvSpPr>
            <xdr:cNvPr id="2268" name="Check Box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1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11</xdr:row>
          <xdr:rowOff>30480</xdr:rowOff>
        </xdr:from>
        <xdr:to>
          <xdr:col>3</xdr:col>
          <xdr:colOff>0</xdr:colOff>
          <xdr:row>12</xdr:row>
          <xdr:rowOff>15240</xdr:rowOff>
        </xdr:to>
        <xdr:sp macro="" textlink="">
          <xdr:nvSpPr>
            <xdr:cNvPr id="2269" name="Check Box 221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1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13</xdr:row>
          <xdr:rowOff>30480</xdr:rowOff>
        </xdr:from>
        <xdr:to>
          <xdr:col>3</xdr:col>
          <xdr:colOff>0</xdr:colOff>
          <xdr:row>14</xdr:row>
          <xdr:rowOff>15240</xdr:rowOff>
        </xdr:to>
        <xdr:sp macro="" textlink="">
          <xdr:nvSpPr>
            <xdr:cNvPr id="2270" name="Check Box 222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1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15</xdr:row>
          <xdr:rowOff>30480</xdr:rowOff>
        </xdr:from>
        <xdr:to>
          <xdr:col>3</xdr:col>
          <xdr:colOff>0</xdr:colOff>
          <xdr:row>16</xdr:row>
          <xdr:rowOff>15240</xdr:rowOff>
        </xdr:to>
        <xdr:sp macro="" textlink="">
          <xdr:nvSpPr>
            <xdr:cNvPr id="2271" name="Check Box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1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17</xdr:row>
          <xdr:rowOff>30480</xdr:rowOff>
        </xdr:from>
        <xdr:to>
          <xdr:col>3</xdr:col>
          <xdr:colOff>0</xdr:colOff>
          <xdr:row>18</xdr:row>
          <xdr:rowOff>15240</xdr:rowOff>
        </xdr:to>
        <xdr:sp macro="" textlink="">
          <xdr:nvSpPr>
            <xdr:cNvPr id="2272" name="Check Box 224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1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19</xdr:row>
          <xdr:rowOff>30480</xdr:rowOff>
        </xdr:from>
        <xdr:to>
          <xdr:col>3</xdr:col>
          <xdr:colOff>0</xdr:colOff>
          <xdr:row>20</xdr:row>
          <xdr:rowOff>15240</xdr:rowOff>
        </xdr:to>
        <xdr:sp macro="" textlink="">
          <xdr:nvSpPr>
            <xdr:cNvPr id="2273" name="Check Box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1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21</xdr:row>
          <xdr:rowOff>30480</xdr:rowOff>
        </xdr:from>
        <xdr:to>
          <xdr:col>3</xdr:col>
          <xdr:colOff>0</xdr:colOff>
          <xdr:row>22</xdr:row>
          <xdr:rowOff>7620</xdr:rowOff>
        </xdr:to>
        <xdr:sp macro="" textlink="">
          <xdr:nvSpPr>
            <xdr:cNvPr id="2274" name="Check Box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1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23</xdr:row>
          <xdr:rowOff>30480</xdr:rowOff>
        </xdr:from>
        <xdr:to>
          <xdr:col>3</xdr:col>
          <xdr:colOff>0</xdr:colOff>
          <xdr:row>24</xdr:row>
          <xdr:rowOff>7620</xdr:rowOff>
        </xdr:to>
        <xdr:sp macro="" textlink="">
          <xdr:nvSpPr>
            <xdr:cNvPr id="2275" name="Check Box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1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25</xdr:row>
          <xdr:rowOff>30480</xdr:rowOff>
        </xdr:from>
        <xdr:to>
          <xdr:col>3</xdr:col>
          <xdr:colOff>0</xdr:colOff>
          <xdr:row>26</xdr:row>
          <xdr:rowOff>7620</xdr:rowOff>
        </xdr:to>
        <xdr:sp macro="" textlink="">
          <xdr:nvSpPr>
            <xdr:cNvPr id="2276" name="Check Box 228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1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25</xdr:row>
          <xdr:rowOff>30480</xdr:rowOff>
        </xdr:from>
        <xdr:to>
          <xdr:col>3</xdr:col>
          <xdr:colOff>0</xdr:colOff>
          <xdr:row>26</xdr:row>
          <xdr:rowOff>7620</xdr:rowOff>
        </xdr:to>
        <xdr:sp macro="" textlink="">
          <xdr:nvSpPr>
            <xdr:cNvPr id="2277" name="Check Box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1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27</xdr:row>
          <xdr:rowOff>30480</xdr:rowOff>
        </xdr:from>
        <xdr:to>
          <xdr:col>3</xdr:col>
          <xdr:colOff>0</xdr:colOff>
          <xdr:row>28</xdr:row>
          <xdr:rowOff>7620</xdr:rowOff>
        </xdr:to>
        <xdr:sp macro="" textlink="">
          <xdr:nvSpPr>
            <xdr:cNvPr id="2278" name="Check Box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1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29</xdr:row>
          <xdr:rowOff>30480</xdr:rowOff>
        </xdr:from>
        <xdr:to>
          <xdr:col>3</xdr:col>
          <xdr:colOff>0</xdr:colOff>
          <xdr:row>30</xdr:row>
          <xdr:rowOff>7620</xdr:rowOff>
        </xdr:to>
        <xdr:sp macro="" textlink="">
          <xdr:nvSpPr>
            <xdr:cNvPr id="2279" name="Check Box 231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1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31</xdr:row>
          <xdr:rowOff>30480</xdr:rowOff>
        </xdr:from>
        <xdr:to>
          <xdr:col>3</xdr:col>
          <xdr:colOff>0</xdr:colOff>
          <xdr:row>32</xdr:row>
          <xdr:rowOff>7620</xdr:rowOff>
        </xdr:to>
        <xdr:sp macro="" textlink="">
          <xdr:nvSpPr>
            <xdr:cNvPr id="2280" name="Check Box 232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1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33</xdr:row>
          <xdr:rowOff>30480</xdr:rowOff>
        </xdr:from>
        <xdr:to>
          <xdr:col>3</xdr:col>
          <xdr:colOff>0</xdr:colOff>
          <xdr:row>34</xdr:row>
          <xdr:rowOff>7620</xdr:rowOff>
        </xdr:to>
        <xdr:sp macro="" textlink="">
          <xdr:nvSpPr>
            <xdr:cNvPr id="2281" name="Check Box 233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1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35</xdr:row>
          <xdr:rowOff>30480</xdr:rowOff>
        </xdr:from>
        <xdr:to>
          <xdr:col>3</xdr:col>
          <xdr:colOff>0</xdr:colOff>
          <xdr:row>36</xdr:row>
          <xdr:rowOff>7620</xdr:rowOff>
        </xdr:to>
        <xdr:sp macro="" textlink="">
          <xdr:nvSpPr>
            <xdr:cNvPr id="2282" name="Check Box 23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1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37</xdr:row>
          <xdr:rowOff>30480</xdr:rowOff>
        </xdr:from>
        <xdr:to>
          <xdr:col>3</xdr:col>
          <xdr:colOff>0</xdr:colOff>
          <xdr:row>38</xdr:row>
          <xdr:rowOff>7620</xdr:rowOff>
        </xdr:to>
        <xdr:sp macro="" textlink="">
          <xdr:nvSpPr>
            <xdr:cNvPr id="2283" name="Check Box 235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1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39</xdr:row>
          <xdr:rowOff>30480</xdr:rowOff>
        </xdr:from>
        <xdr:to>
          <xdr:col>3</xdr:col>
          <xdr:colOff>0</xdr:colOff>
          <xdr:row>40</xdr:row>
          <xdr:rowOff>7620</xdr:rowOff>
        </xdr:to>
        <xdr:sp macro="" textlink="">
          <xdr:nvSpPr>
            <xdr:cNvPr id="2284" name="Check Box 236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00000000-0008-0000-01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39</xdr:row>
          <xdr:rowOff>30480</xdr:rowOff>
        </xdr:from>
        <xdr:to>
          <xdr:col>3</xdr:col>
          <xdr:colOff>0</xdr:colOff>
          <xdr:row>40</xdr:row>
          <xdr:rowOff>7620</xdr:rowOff>
        </xdr:to>
        <xdr:sp macro="" textlink="">
          <xdr:nvSpPr>
            <xdr:cNvPr id="2285" name="Check Box 237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00000000-0008-0000-01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39</xdr:row>
          <xdr:rowOff>30480</xdr:rowOff>
        </xdr:from>
        <xdr:to>
          <xdr:col>3</xdr:col>
          <xdr:colOff>0</xdr:colOff>
          <xdr:row>40</xdr:row>
          <xdr:rowOff>7620</xdr:rowOff>
        </xdr:to>
        <xdr:sp macro="" textlink="">
          <xdr:nvSpPr>
            <xdr:cNvPr id="2286" name="Check Box 238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00000000-0008-0000-01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41</xdr:row>
          <xdr:rowOff>30480</xdr:rowOff>
        </xdr:from>
        <xdr:to>
          <xdr:col>3</xdr:col>
          <xdr:colOff>0</xdr:colOff>
          <xdr:row>42</xdr:row>
          <xdr:rowOff>7620</xdr:rowOff>
        </xdr:to>
        <xdr:sp macro="" textlink="">
          <xdr:nvSpPr>
            <xdr:cNvPr id="2287" name="Check Box 239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00000000-0008-0000-01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43</xdr:row>
          <xdr:rowOff>30480</xdr:rowOff>
        </xdr:from>
        <xdr:to>
          <xdr:col>3</xdr:col>
          <xdr:colOff>0</xdr:colOff>
          <xdr:row>44</xdr:row>
          <xdr:rowOff>7620</xdr:rowOff>
        </xdr:to>
        <xdr:sp macro="" textlink="">
          <xdr:nvSpPr>
            <xdr:cNvPr id="2288" name="Check Box 240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00000000-0008-0000-01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289" name="Check Box 241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00000000-0008-0000-01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49</xdr:row>
          <xdr:rowOff>30480</xdr:rowOff>
        </xdr:from>
        <xdr:to>
          <xdr:col>3</xdr:col>
          <xdr:colOff>0</xdr:colOff>
          <xdr:row>50</xdr:row>
          <xdr:rowOff>7620</xdr:rowOff>
        </xdr:to>
        <xdr:sp macro="" textlink="">
          <xdr:nvSpPr>
            <xdr:cNvPr id="2290" name="Check Box 242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00000000-0008-0000-01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51</xdr:row>
          <xdr:rowOff>30480</xdr:rowOff>
        </xdr:from>
        <xdr:to>
          <xdr:col>3</xdr:col>
          <xdr:colOff>0</xdr:colOff>
          <xdr:row>52</xdr:row>
          <xdr:rowOff>7620</xdr:rowOff>
        </xdr:to>
        <xdr:sp macro="" textlink="">
          <xdr:nvSpPr>
            <xdr:cNvPr id="2291" name="Check Box 243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0000000-0008-0000-01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53</xdr:row>
          <xdr:rowOff>30480</xdr:rowOff>
        </xdr:from>
        <xdr:to>
          <xdr:col>3</xdr:col>
          <xdr:colOff>0</xdr:colOff>
          <xdr:row>54</xdr:row>
          <xdr:rowOff>7620</xdr:rowOff>
        </xdr:to>
        <xdr:sp macro="" textlink="">
          <xdr:nvSpPr>
            <xdr:cNvPr id="2292" name="Check Box 244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00000000-0008-0000-01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55</xdr:row>
          <xdr:rowOff>0</xdr:rowOff>
        </xdr:from>
        <xdr:to>
          <xdr:col>3</xdr:col>
          <xdr:colOff>0</xdr:colOff>
          <xdr:row>55</xdr:row>
          <xdr:rowOff>281940</xdr:rowOff>
        </xdr:to>
        <xdr:sp macro="" textlink="">
          <xdr:nvSpPr>
            <xdr:cNvPr id="2293" name="Check Box 245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00000000-0008-0000-01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57</xdr:row>
          <xdr:rowOff>30480</xdr:rowOff>
        </xdr:from>
        <xdr:to>
          <xdr:col>3</xdr:col>
          <xdr:colOff>0</xdr:colOff>
          <xdr:row>58</xdr:row>
          <xdr:rowOff>15240</xdr:rowOff>
        </xdr:to>
        <xdr:sp macro="" textlink="">
          <xdr:nvSpPr>
            <xdr:cNvPr id="2294" name="Check Box 246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00000000-0008-0000-01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59</xdr:row>
          <xdr:rowOff>30480</xdr:rowOff>
        </xdr:from>
        <xdr:to>
          <xdr:col>3</xdr:col>
          <xdr:colOff>0</xdr:colOff>
          <xdr:row>60</xdr:row>
          <xdr:rowOff>15240</xdr:rowOff>
        </xdr:to>
        <xdr:sp macro="" textlink="">
          <xdr:nvSpPr>
            <xdr:cNvPr id="2295" name="Check Box 247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00000000-0008-0000-01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59</xdr:row>
          <xdr:rowOff>30480</xdr:rowOff>
        </xdr:from>
        <xdr:to>
          <xdr:col>3</xdr:col>
          <xdr:colOff>0</xdr:colOff>
          <xdr:row>60</xdr:row>
          <xdr:rowOff>15240</xdr:rowOff>
        </xdr:to>
        <xdr:sp macro="" textlink="">
          <xdr:nvSpPr>
            <xdr:cNvPr id="2296" name="Check Box 248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1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9</xdr:row>
          <xdr:rowOff>30480</xdr:rowOff>
        </xdr:from>
        <xdr:to>
          <xdr:col>5</xdr:col>
          <xdr:colOff>2095500</xdr:colOff>
          <xdr:row>10</xdr:row>
          <xdr:rowOff>7620</xdr:rowOff>
        </xdr:to>
        <xdr:sp macro="" textlink="">
          <xdr:nvSpPr>
            <xdr:cNvPr id="2297" name="Check Box 249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1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11</xdr:row>
          <xdr:rowOff>30480</xdr:rowOff>
        </xdr:from>
        <xdr:to>
          <xdr:col>5</xdr:col>
          <xdr:colOff>2103120</xdr:colOff>
          <xdr:row>12</xdr:row>
          <xdr:rowOff>15240</xdr:rowOff>
        </xdr:to>
        <xdr:sp macro="" textlink="">
          <xdr:nvSpPr>
            <xdr:cNvPr id="2298" name="Check Box 250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1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13</xdr:row>
          <xdr:rowOff>30480</xdr:rowOff>
        </xdr:from>
        <xdr:to>
          <xdr:col>5</xdr:col>
          <xdr:colOff>2103120</xdr:colOff>
          <xdr:row>14</xdr:row>
          <xdr:rowOff>15240</xdr:rowOff>
        </xdr:to>
        <xdr:sp macro="" textlink="">
          <xdr:nvSpPr>
            <xdr:cNvPr id="2299" name="Check Box 251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1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15</xdr:row>
          <xdr:rowOff>30480</xdr:rowOff>
        </xdr:from>
        <xdr:to>
          <xdr:col>5</xdr:col>
          <xdr:colOff>2103120</xdr:colOff>
          <xdr:row>16</xdr:row>
          <xdr:rowOff>15240</xdr:rowOff>
        </xdr:to>
        <xdr:sp macro="" textlink="">
          <xdr:nvSpPr>
            <xdr:cNvPr id="2300" name="Check Box 252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1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17</xdr:row>
          <xdr:rowOff>30480</xdr:rowOff>
        </xdr:from>
        <xdr:to>
          <xdr:col>5</xdr:col>
          <xdr:colOff>2103120</xdr:colOff>
          <xdr:row>18</xdr:row>
          <xdr:rowOff>15240</xdr:rowOff>
        </xdr:to>
        <xdr:sp macro="" textlink="">
          <xdr:nvSpPr>
            <xdr:cNvPr id="2301" name="Check Box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1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19</xdr:row>
          <xdr:rowOff>30480</xdr:rowOff>
        </xdr:from>
        <xdr:to>
          <xdr:col>5</xdr:col>
          <xdr:colOff>2103120</xdr:colOff>
          <xdr:row>20</xdr:row>
          <xdr:rowOff>15240</xdr:rowOff>
        </xdr:to>
        <xdr:sp macro="" textlink="">
          <xdr:nvSpPr>
            <xdr:cNvPr id="2302" name="Check Box 254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1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21</xdr:row>
          <xdr:rowOff>30480</xdr:rowOff>
        </xdr:from>
        <xdr:to>
          <xdr:col>5</xdr:col>
          <xdr:colOff>2095500</xdr:colOff>
          <xdr:row>22</xdr:row>
          <xdr:rowOff>7620</xdr:rowOff>
        </xdr:to>
        <xdr:sp macro="" textlink="">
          <xdr:nvSpPr>
            <xdr:cNvPr id="2303" name="Check Box 255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1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23</xdr:row>
          <xdr:rowOff>30480</xdr:rowOff>
        </xdr:from>
        <xdr:to>
          <xdr:col>5</xdr:col>
          <xdr:colOff>2095500</xdr:colOff>
          <xdr:row>24</xdr:row>
          <xdr:rowOff>7620</xdr:rowOff>
        </xdr:to>
        <xdr:sp macro="" textlink="">
          <xdr:nvSpPr>
            <xdr:cNvPr id="2304" name="Check Box 256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1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23</xdr:row>
          <xdr:rowOff>30480</xdr:rowOff>
        </xdr:from>
        <xdr:to>
          <xdr:col>5</xdr:col>
          <xdr:colOff>2095500</xdr:colOff>
          <xdr:row>24</xdr:row>
          <xdr:rowOff>7620</xdr:rowOff>
        </xdr:to>
        <xdr:sp macro="" textlink="">
          <xdr:nvSpPr>
            <xdr:cNvPr id="2305" name="Check Box 257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1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23</xdr:row>
          <xdr:rowOff>30480</xdr:rowOff>
        </xdr:from>
        <xdr:to>
          <xdr:col>5</xdr:col>
          <xdr:colOff>2095500</xdr:colOff>
          <xdr:row>24</xdr:row>
          <xdr:rowOff>7620</xdr:rowOff>
        </xdr:to>
        <xdr:sp macro="" textlink="">
          <xdr:nvSpPr>
            <xdr:cNvPr id="2306" name="Check Box 258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1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25</xdr:row>
          <xdr:rowOff>30480</xdr:rowOff>
        </xdr:from>
        <xdr:to>
          <xdr:col>5</xdr:col>
          <xdr:colOff>2095500</xdr:colOff>
          <xdr:row>26</xdr:row>
          <xdr:rowOff>7620</xdr:rowOff>
        </xdr:to>
        <xdr:sp macro="" textlink="">
          <xdr:nvSpPr>
            <xdr:cNvPr id="2307" name="Check Box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1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27</xdr:row>
          <xdr:rowOff>30480</xdr:rowOff>
        </xdr:from>
        <xdr:to>
          <xdr:col>5</xdr:col>
          <xdr:colOff>2095500</xdr:colOff>
          <xdr:row>28</xdr:row>
          <xdr:rowOff>7620</xdr:rowOff>
        </xdr:to>
        <xdr:sp macro="" textlink="">
          <xdr:nvSpPr>
            <xdr:cNvPr id="2308" name="Check Box 260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1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29</xdr:row>
          <xdr:rowOff>30480</xdr:rowOff>
        </xdr:from>
        <xdr:to>
          <xdr:col>5</xdr:col>
          <xdr:colOff>2095500</xdr:colOff>
          <xdr:row>30</xdr:row>
          <xdr:rowOff>7620</xdr:rowOff>
        </xdr:to>
        <xdr:sp macro="" textlink="">
          <xdr:nvSpPr>
            <xdr:cNvPr id="2309" name="Check Box 261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1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31</xdr:row>
          <xdr:rowOff>30480</xdr:rowOff>
        </xdr:from>
        <xdr:to>
          <xdr:col>5</xdr:col>
          <xdr:colOff>2095500</xdr:colOff>
          <xdr:row>32</xdr:row>
          <xdr:rowOff>7620</xdr:rowOff>
        </xdr:to>
        <xdr:sp macro="" textlink="">
          <xdr:nvSpPr>
            <xdr:cNvPr id="2310" name="Check Box 262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1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33</xdr:row>
          <xdr:rowOff>30480</xdr:rowOff>
        </xdr:from>
        <xdr:to>
          <xdr:col>5</xdr:col>
          <xdr:colOff>2095500</xdr:colOff>
          <xdr:row>34</xdr:row>
          <xdr:rowOff>7620</xdr:rowOff>
        </xdr:to>
        <xdr:sp macro="" textlink="">
          <xdr:nvSpPr>
            <xdr:cNvPr id="2311" name="Check Box 263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1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35</xdr:row>
          <xdr:rowOff>30480</xdr:rowOff>
        </xdr:from>
        <xdr:to>
          <xdr:col>5</xdr:col>
          <xdr:colOff>2095500</xdr:colOff>
          <xdr:row>36</xdr:row>
          <xdr:rowOff>7620</xdr:rowOff>
        </xdr:to>
        <xdr:sp macro="" textlink="">
          <xdr:nvSpPr>
            <xdr:cNvPr id="2312" name="Check Box 264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1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37</xdr:row>
          <xdr:rowOff>30480</xdr:rowOff>
        </xdr:from>
        <xdr:to>
          <xdr:col>5</xdr:col>
          <xdr:colOff>2095500</xdr:colOff>
          <xdr:row>38</xdr:row>
          <xdr:rowOff>7620</xdr:rowOff>
        </xdr:to>
        <xdr:sp macro="" textlink="">
          <xdr:nvSpPr>
            <xdr:cNvPr id="2313" name="Check Box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1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39</xdr:row>
          <xdr:rowOff>30480</xdr:rowOff>
        </xdr:from>
        <xdr:to>
          <xdr:col>5</xdr:col>
          <xdr:colOff>2095500</xdr:colOff>
          <xdr:row>40</xdr:row>
          <xdr:rowOff>7620</xdr:rowOff>
        </xdr:to>
        <xdr:sp macro="" textlink="">
          <xdr:nvSpPr>
            <xdr:cNvPr id="2314" name="Check Box 266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1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41</xdr:row>
          <xdr:rowOff>30480</xdr:rowOff>
        </xdr:from>
        <xdr:to>
          <xdr:col>5</xdr:col>
          <xdr:colOff>2095500</xdr:colOff>
          <xdr:row>42</xdr:row>
          <xdr:rowOff>7620</xdr:rowOff>
        </xdr:to>
        <xdr:sp macro="" textlink="">
          <xdr:nvSpPr>
            <xdr:cNvPr id="2315" name="Check Box 267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1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43</xdr:row>
          <xdr:rowOff>30480</xdr:rowOff>
        </xdr:from>
        <xdr:to>
          <xdr:col>5</xdr:col>
          <xdr:colOff>2095500</xdr:colOff>
          <xdr:row>44</xdr:row>
          <xdr:rowOff>7620</xdr:rowOff>
        </xdr:to>
        <xdr:sp macro="" textlink="">
          <xdr:nvSpPr>
            <xdr:cNvPr id="2316" name="Check Box 268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1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45</xdr:row>
          <xdr:rowOff>30480</xdr:rowOff>
        </xdr:from>
        <xdr:to>
          <xdr:col>5</xdr:col>
          <xdr:colOff>2095500</xdr:colOff>
          <xdr:row>46</xdr:row>
          <xdr:rowOff>7620</xdr:rowOff>
        </xdr:to>
        <xdr:sp macro="" textlink="">
          <xdr:nvSpPr>
            <xdr:cNvPr id="2317" name="Check Box 269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1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47</xdr:row>
          <xdr:rowOff>30480</xdr:rowOff>
        </xdr:from>
        <xdr:to>
          <xdr:col>5</xdr:col>
          <xdr:colOff>2095500</xdr:colOff>
          <xdr:row>48</xdr:row>
          <xdr:rowOff>7620</xdr:rowOff>
        </xdr:to>
        <xdr:sp macro="" textlink="">
          <xdr:nvSpPr>
            <xdr:cNvPr id="2318" name="Check Box 270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1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49</xdr:row>
          <xdr:rowOff>30480</xdr:rowOff>
        </xdr:from>
        <xdr:to>
          <xdr:col>5</xdr:col>
          <xdr:colOff>2095500</xdr:colOff>
          <xdr:row>50</xdr:row>
          <xdr:rowOff>7620</xdr:rowOff>
        </xdr:to>
        <xdr:sp macro="" textlink="">
          <xdr:nvSpPr>
            <xdr:cNvPr id="2319" name="Check Box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1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51</xdr:row>
          <xdr:rowOff>30480</xdr:rowOff>
        </xdr:from>
        <xdr:to>
          <xdr:col>5</xdr:col>
          <xdr:colOff>2095500</xdr:colOff>
          <xdr:row>52</xdr:row>
          <xdr:rowOff>7620</xdr:rowOff>
        </xdr:to>
        <xdr:sp macro="" textlink="">
          <xdr:nvSpPr>
            <xdr:cNvPr id="2320" name="Check Box 272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1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53</xdr:row>
          <xdr:rowOff>30480</xdr:rowOff>
        </xdr:from>
        <xdr:to>
          <xdr:col>5</xdr:col>
          <xdr:colOff>2095500</xdr:colOff>
          <xdr:row>54</xdr:row>
          <xdr:rowOff>7620</xdr:rowOff>
        </xdr:to>
        <xdr:sp macro="" textlink="">
          <xdr:nvSpPr>
            <xdr:cNvPr id="2321" name="Check Box 273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1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55</xdr:row>
          <xdr:rowOff>0</xdr:rowOff>
        </xdr:from>
        <xdr:to>
          <xdr:col>5</xdr:col>
          <xdr:colOff>2087880</xdr:colOff>
          <xdr:row>55</xdr:row>
          <xdr:rowOff>281940</xdr:rowOff>
        </xdr:to>
        <xdr:sp macro="" textlink="">
          <xdr:nvSpPr>
            <xdr:cNvPr id="2322" name="Check Box 274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1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57</xdr:row>
          <xdr:rowOff>30480</xdr:rowOff>
        </xdr:from>
        <xdr:to>
          <xdr:col>5</xdr:col>
          <xdr:colOff>2095500</xdr:colOff>
          <xdr:row>58</xdr:row>
          <xdr:rowOff>15240</xdr:rowOff>
        </xdr:to>
        <xdr:sp macro="" textlink="">
          <xdr:nvSpPr>
            <xdr:cNvPr id="2323" name="Check Box 275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1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59</xdr:row>
          <xdr:rowOff>30480</xdr:rowOff>
        </xdr:from>
        <xdr:to>
          <xdr:col>5</xdr:col>
          <xdr:colOff>2095500</xdr:colOff>
          <xdr:row>60</xdr:row>
          <xdr:rowOff>15240</xdr:rowOff>
        </xdr:to>
        <xdr:sp macro="" textlink="">
          <xdr:nvSpPr>
            <xdr:cNvPr id="2324" name="Check Box 276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1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9</xdr:row>
          <xdr:rowOff>30480</xdr:rowOff>
        </xdr:from>
        <xdr:to>
          <xdr:col>9</xdr:col>
          <xdr:colOff>739140</xdr:colOff>
          <xdr:row>10</xdr:row>
          <xdr:rowOff>7620</xdr:rowOff>
        </xdr:to>
        <xdr:sp macro="" textlink="">
          <xdr:nvSpPr>
            <xdr:cNvPr id="2325" name="Check Box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1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11</xdr:row>
          <xdr:rowOff>30480</xdr:rowOff>
        </xdr:from>
        <xdr:to>
          <xdr:col>9</xdr:col>
          <xdr:colOff>746760</xdr:colOff>
          <xdr:row>12</xdr:row>
          <xdr:rowOff>15240</xdr:rowOff>
        </xdr:to>
        <xdr:sp macro="" textlink="">
          <xdr:nvSpPr>
            <xdr:cNvPr id="2326" name="Check Box 278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1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13</xdr:row>
          <xdr:rowOff>30480</xdr:rowOff>
        </xdr:from>
        <xdr:to>
          <xdr:col>9</xdr:col>
          <xdr:colOff>746760</xdr:colOff>
          <xdr:row>14</xdr:row>
          <xdr:rowOff>15240</xdr:rowOff>
        </xdr:to>
        <xdr:sp macro="" textlink="">
          <xdr:nvSpPr>
            <xdr:cNvPr id="2327" name="Check Box 279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1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15</xdr:row>
          <xdr:rowOff>30480</xdr:rowOff>
        </xdr:from>
        <xdr:to>
          <xdr:col>9</xdr:col>
          <xdr:colOff>746760</xdr:colOff>
          <xdr:row>16</xdr:row>
          <xdr:rowOff>15240</xdr:rowOff>
        </xdr:to>
        <xdr:sp macro="" textlink="">
          <xdr:nvSpPr>
            <xdr:cNvPr id="2328" name="Check Box 280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1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17</xdr:row>
          <xdr:rowOff>30480</xdr:rowOff>
        </xdr:from>
        <xdr:to>
          <xdr:col>9</xdr:col>
          <xdr:colOff>746760</xdr:colOff>
          <xdr:row>18</xdr:row>
          <xdr:rowOff>15240</xdr:rowOff>
        </xdr:to>
        <xdr:sp macro="" textlink="">
          <xdr:nvSpPr>
            <xdr:cNvPr id="2329" name="Check Box 281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1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19</xdr:row>
          <xdr:rowOff>30480</xdr:rowOff>
        </xdr:from>
        <xdr:to>
          <xdr:col>9</xdr:col>
          <xdr:colOff>746760</xdr:colOff>
          <xdr:row>20</xdr:row>
          <xdr:rowOff>15240</xdr:rowOff>
        </xdr:to>
        <xdr:sp macro="" textlink="">
          <xdr:nvSpPr>
            <xdr:cNvPr id="2330" name="Check Box 282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1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21</xdr:row>
          <xdr:rowOff>30480</xdr:rowOff>
        </xdr:from>
        <xdr:to>
          <xdr:col>9</xdr:col>
          <xdr:colOff>739140</xdr:colOff>
          <xdr:row>22</xdr:row>
          <xdr:rowOff>7620</xdr:rowOff>
        </xdr:to>
        <xdr:sp macro="" textlink="">
          <xdr:nvSpPr>
            <xdr:cNvPr id="2331" name="Check Box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1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23</xdr:row>
          <xdr:rowOff>30480</xdr:rowOff>
        </xdr:from>
        <xdr:to>
          <xdr:col>9</xdr:col>
          <xdr:colOff>739140</xdr:colOff>
          <xdr:row>24</xdr:row>
          <xdr:rowOff>7620</xdr:rowOff>
        </xdr:to>
        <xdr:sp macro="" textlink="">
          <xdr:nvSpPr>
            <xdr:cNvPr id="2332" name="Check Box 284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1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25</xdr:row>
          <xdr:rowOff>30480</xdr:rowOff>
        </xdr:from>
        <xdr:to>
          <xdr:col>9</xdr:col>
          <xdr:colOff>739140</xdr:colOff>
          <xdr:row>26</xdr:row>
          <xdr:rowOff>7620</xdr:rowOff>
        </xdr:to>
        <xdr:sp macro="" textlink="">
          <xdr:nvSpPr>
            <xdr:cNvPr id="2333" name="Check Box 285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1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27</xdr:row>
          <xdr:rowOff>30480</xdr:rowOff>
        </xdr:from>
        <xdr:to>
          <xdr:col>9</xdr:col>
          <xdr:colOff>739140</xdr:colOff>
          <xdr:row>28</xdr:row>
          <xdr:rowOff>7620</xdr:rowOff>
        </xdr:to>
        <xdr:sp macro="" textlink="">
          <xdr:nvSpPr>
            <xdr:cNvPr id="2334" name="Check Box 286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1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29</xdr:row>
          <xdr:rowOff>30480</xdr:rowOff>
        </xdr:from>
        <xdr:to>
          <xdr:col>9</xdr:col>
          <xdr:colOff>739140</xdr:colOff>
          <xdr:row>30</xdr:row>
          <xdr:rowOff>7620</xdr:rowOff>
        </xdr:to>
        <xdr:sp macro="" textlink="">
          <xdr:nvSpPr>
            <xdr:cNvPr id="2335" name="Check Box 287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1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31</xdr:row>
          <xdr:rowOff>30480</xdr:rowOff>
        </xdr:from>
        <xdr:to>
          <xdr:col>9</xdr:col>
          <xdr:colOff>739140</xdr:colOff>
          <xdr:row>32</xdr:row>
          <xdr:rowOff>7620</xdr:rowOff>
        </xdr:to>
        <xdr:sp macro="" textlink="">
          <xdr:nvSpPr>
            <xdr:cNvPr id="2336" name="Check Box 288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1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35</xdr:row>
          <xdr:rowOff>30480</xdr:rowOff>
        </xdr:from>
        <xdr:to>
          <xdr:col>9</xdr:col>
          <xdr:colOff>739140</xdr:colOff>
          <xdr:row>36</xdr:row>
          <xdr:rowOff>7620</xdr:rowOff>
        </xdr:to>
        <xdr:sp macro="" textlink="">
          <xdr:nvSpPr>
            <xdr:cNvPr id="2337" name="Check Box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1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37</xdr:row>
          <xdr:rowOff>30480</xdr:rowOff>
        </xdr:from>
        <xdr:to>
          <xdr:col>9</xdr:col>
          <xdr:colOff>739140</xdr:colOff>
          <xdr:row>38</xdr:row>
          <xdr:rowOff>7620</xdr:rowOff>
        </xdr:to>
        <xdr:sp macro="" textlink="">
          <xdr:nvSpPr>
            <xdr:cNvPr id="2338" name="Check Box 290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1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39</xdr:row>
          <xdr:rowOff>30480</xdr:rowOff>
        </xdr:from>
        <xdr:to>
          <xdr:col>9</xdr:col>
          <xdr:colOff>739140</xdr:colOff>
          <xdr:row>40</xdr:row>
          <xdr:rowOff>7620</xdr:rowOff>
        </xdr:to>
        <xdr:sp macro="" textlink="">
          <xdr:nvSpPr>
            <xdr:cNvPr id="2339" name="Check Box 291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1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41</xdr:row>
          <xdr:rowOff>30480</xdr:rowOff>
        </xdr:from>
        <xdr:to>
          <xdr:col>9</xdr:col>
          <xdr:colOff>739140</xdr:colOff>
          <xdr:row>42</xdr:row>
          <xdr:rowOff>7620</xdr:rowOff>
        </xdr:to>
        <xdr:sp macro="" textlink="">
          <xdr:nvSpPr>
            <xdr:cNvPr id="2340" name="Check Box 292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1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43</xdr:row>
          <xdr:rowOff>30480</xdr:rowOff>
        </xdr:from>
        <xdr:to>
          <xdr:col>9</xdr:col>
          <xdr:colOff>739140</xdr:colOff>
          <xdr:row>44</xdr:row>
          <xdr:rowOff>7620</xdr:rowOff>
        </xdr:to>
        <xdr:sp macro="" textlink="">
          <xdr:nvSpPr>
            <xdr:cNvPr id="2341" name="Check Box 293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1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45</xdr:row>
          <xdr:rowOff>30480</xdr:rowOff>
        </xdr:from>
        <xdr:to>
          <xdr:col>9</xdr:col>
          <xdr:colOff>739140</xdr:colOff>
          <xdr:row>46</xdr:row>
          <xdr:rowOff>7620</xdr:rowOff>
        </xdr:to>
        <xdr:sp macro="" textlink="">
          <xdr:nvSpPr>
            <xdr:cNvPr id="2342" name="Check Box 294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1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47</xdr:row>
          <xdr:rowOff>30480</xdr:rowOff>
        </xdr:from>
        <xdr:to>
          <xdr:col>9</xdr:col>
          <xdr:colOff>739140</xdr:colOff>
          <xdr:row>48</xdr:row>
          <xdr:rowOff>7620</xdr:rowOff>
        </xdr:to>
        <xdr:sp macro="" textlink="">
          <xdr:nvSpPr>
            <xdr:cNvPr id="2343" name="Check Box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1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49</xdr:row>
          <xdr:rowOff>30480</xdr:rowOff>
        </xdr:from>
        <xdr:to>
          <xdr:col>9</xdr:col>
          <xdr:colOff>739140</xdr:colOff>
          <xdr:row>50</xdr:row>
          <xdr:rowOff>7620</xdr:rowOff>
        </xdr:to>
        <xdr:sp macro="" textlink="">
          <xdr:nvSpPr>
            <xdr:cNvPr id="2344" name="Check Box 296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1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51</xdr:row>
          <xdr:rowOff>30480</xdr:rowOff>
        </xdr:from>
        <xdr:to>
          <xdr:col>9</xdr:col>
          <xdr:colOff>739140</xdr:colOff>
          <xdr:row>52</xdr:row>
          <xdr:rowOff>7620</xdr:rowOff>
        </xdr:to>
        <xdr:sp macro="" textlink="">
          <xdr:nvSpPr>
            <xdr:cNvPr id="2345" name="Check Box 297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1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27</xdr:row>
          <xdr:rowOff>30480</xdr:rowOff>
        </xdr:from>
        <xdr:to>
          <xdr:col>3</xdr:col>
          <xdr:colOff>0</xdr:colOff>
          <xdr:row>28</xdr:row>
          <xdr:rowOff>7620</xdr:rowOff>
        </xdr:to>
        <xdr:sp macro="" textlink="">
          <xdr:nvSpPr>
            <xdr:cNvPr id="2346" name="Check Box 298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1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27</xdr:row>
          <xdr:rowOff>30480</xdr:rowOff>
        </xdr:from>
        <xdr:to>
          <xdr:col>3</xdr:col>
          <xdr:colOff>0</xdr:colOff>
          <xdr:row>28</xdr:row>
          <xdr:rowOff>7620</xdr:rowOff>
        </xdr:to>
        <xdr:sp macro="" textlink="">
          <xdr:nvSpPr>
            <xdr:cNvPr id="2347" name="Check Box 299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1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47</xdr:row>
          <xdr:rowOff>30480</xdr:rowOff>
        </xdr:from>
        <xdr:to>
          <xdr:col>5</xdr:col>
          <xdr:colOff>2095500</xdr:colOff>
          <xdr:row>48</xdr:row>
          <xdr:rowOff>7620</xdr:rowOff>
        </xdr:to>
        <xdr:sp macro="" textlink="">
          <xdr:nvSpPr>
            <xdr:cNvPr id="2348" name="Check Box 300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1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49</xdr:row>
          <xdr:rowOff>30480</xdr:rowOff>
        </xdr:from>
        <xdr:to>
          <xdr:col>5</xdr:col>
          <xdr:colOff>2095500</xdr:colOff>
          <xdr:row>50</xdr:row>
          <xdr:rowOff>7620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1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53</xdr:row>
          <xdr:rowOff>30480</xdr:rowOff>
        </xdr:from>
        <xdr:to>
          <xdr:col>5</xdr:col>
          <xdr:colOff>2095500</xdr:colOff>
          <xdr:row>54</xdr:row>
          <xdr:rowOff>7620</xdr:rowOff>
        </xdr:to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1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57</xdr:row>
          <xdr:rowOff>30480</xdr:rowOff>
        </xdr:from>
        <xdr:to>
          <xdr:col>5</xdr:col>
          <xdr:colOff>2095500</xdr:colOff>
          <xdr:row>58</xdr:row>
          <xdr:rowOff>15240</xdr:rowOff>
        </xdr:to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1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47</xdr:row>
          <xdr:rowOff>30480</xdr:rowOff>
        </xdr:from>
        <xdr:to>
          <xdr:col>9</xdr:col>
          <xdr:colOff>739140</xdr:colOff>
          <xdr:row>48</xdr:row>
          <xdr:rowOff>7620</xdr:rowOff>
        </xdr:to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1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49</xdr:row>
          <xdr:rowOff>30480</xdr:rowOff>
        </xdr:from>
        <xdr:to>
          <xdr:col>9</xdr:col>
          <xdr:colOff>739140</xdr:colOff>
          <xdr:row>50</xdr:row>
          <xdr:rowOff>7620</xdr:rowOff>
        </xdr:to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1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51</xdr:row>
          <xdr:rowOff>30480</xdr:rowOff>
        </xdr:from>
        <xdr:to>
          <xdr:col>9</xdr:col>
          <xdr:colOff>739140</xdr:colOff>
          <xdr:row>52</xdr:row>
          <xdr:rowOff>7620</xdr:rowOff>
        </xdr:to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1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53</xdr:row>
          <xdr:rowOff>30480</xdr:rowOff>
        </xdr:from>
        <xdr:to>
          <xdr:col>9</xdr:col>
          <xdr:colOff>739140</xdr:colOff>
          <xdr:row>54</xdr:row>
          <xdr:rowOff>7620</xdr:rowOff>
        </xdr:to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1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47</xdr:row>
          <xdr:rowOff>30480</xdr:rowOff>
        </xdr:from>
        <xdr:to>
          <xdr:col>5</xdr:col>
          <xdr:colOff>2095500</xdr:colOff>
          <xdr:row>48</xdr:row>
          <xdr:rowOff>7620</xdr:rowOff>
        </xdr:to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1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49</xdr:row>
          <xdr:rowOff>30480</xdr:rowOff>
        </xdr:from>
        <xdr:to>
          <xdr:col>5</xdr:col>
          <xdr:colOff>2095500</xdr:colOff>
          <xdr:row>50</xdr:row>
          <xdr:rowOff>7620</xdr:rowOff>
        </xdr:to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1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47</xdr:row>
          <xdr:rowOff>30480</xdr:rowOff>
        </xdr:from>
        <xdr:to>
          <xdr:col>9</xdr:col>
          <xdr:colOff>739140</xdr:colOff>
          <xdr:row>48</xdr:row>
          <xdr:rowOff>7620</xdr:rowOff>
        </xdr:to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1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49</xdr:row>
          <xdr:rowOff>30480</xdr:rowOff>
        </xdr:from>
        <xdr:to>
          <xdr:col>9</xdr:col>
          <xdr:colOff>739140</xdr:colOff>
          <xdr:row>50</xdr:row>
          <xdr:rowOff>7620</xdr:rowOff>
        </xdr:to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1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47</xdr:row>
          <xdr:rowOff>30480</xdr:rowOff>
        </xdr:from>
        <xdr:to>
          <xdr:col>5</xdr:col>
          <xdr:colOff>2095500</xdr:colOff>
          <xdr:row>48</xdr:row>
          <xdr:rowOff>7620</xdr:rowOff>
        </xdr:to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1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49</xdr:row>
          <xdr:rowOff>30480</xdr:rowOff>
        </xdr:from>
        <xdr:to>
          <xdr:col>5</xdr:col>
          <xdr:colOff>2095500</xdr:colOff>
          <xdr:row>50</xdr:row>
          <xdr:rowOff>7620</xdr:rowOff>
        </xdr:to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1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47</xdr:row>
          <xdr:rowOff>30480</xdr:rowOff>
        </xdr:from>
        <xdr:to>
          <xdr:col>9</xdr:col>
          <xdr:colOff>739140</xdr:colOff>
          <xdr:row>48</xdr:row>
          <xdr:rowOff>7620</xdr:rowOff>
        </xdr:to>
        <xdr:sp macro="" textlink="">
          <xdr:nvSpPr>
            <xdr:cNvPr id="2362" name="Check Box 314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1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49</xdr:row>
          <xdr:rowOff>30480</xdr:rowOff>
        </xdr:from>
        <xdr:to>
          <xdr:col>9</xdr:col>
          <xdr:colOff>739140</xdr:colOff>
          <xdr:row>50</xdr:row>
          <xdr:rowOff>7620</xdr:rowOff>
        </xdr:to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1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61</xdr:row>
          <xdr:rowOff>30480</xdr:rowOff>
        </xdr:from>
        <xdr:to>
          <xdr:col>5</xdr:col>
          <xdr:colOff>2095500</xdr:colOff>
          <xdr:row>62</xdr:row>
          <xdr:rowOff>15240</xdr:rowOff>
        </xdr:to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1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61</xdr:row>
          <xdr:rowOff>30480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1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61</xdr:row>
          <xdr:rowOff>30480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1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65</xdr:row>
          <xdr:rowOff>30480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1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65</xdr:row>
          <xdr:rowOff>30480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1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65</xdr:row>
          <xdr:rowOff>30480</xdr:rowOff>
        </xdr:from>
        <xdr:to>
          <xdr:col>5</xdr:col>
          <xdr:colOff>2095500</xdr:colOff>
          <xdr:row>66</xdr:row>
          <xdr:rowOff>15240</xdr:rowOff>
        </xdr:to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1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975360</xdr:colOff>
          <xdr:row>63</xdr:row>
          <xdr:rowOff>30480</xdr:rowOff>
        </xdr:from>
        <xdr:to>
          <xdr:col>5</xdr:col>
          <xdr:colOff>2095500</xdr:colOff>
          <xdr:row>64</xdr:row>
          <xdr:rowOff>15240</xdr:rowOff>
        </xdr:to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1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982980</xdr:colOff>
          <xdr:row>33</xdr:row>
          <xdr:rowOff>30480</xdr:rowOff>
        </xdr:from>
        <xdr:to>
          <xdr:col>9</xdr:col>
          <xdr:colOff>739140</xdr:colOff>
          <xdr:row>34</xdr:row>
          <xdr:rowOff>7620</xdr:rowOff>
        </xdr:to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1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63</xdr:row>
          <xdr:rowOff>30480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1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63</xdr:row>
          <xdr:rowOff>30480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373" name="Check Box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1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975360</xdr:colOff>
          <xdr:row>47</xdr:row>
          <xdr:rowOff>30480</xdr:rowOff>
        </xdr:from>
        <xdr:to>
          <xdr:col>3</xdr:col>
          <xdr:colOff>0</xdr:colOff>
          <xdr:row>48</xdr:row>
          <xdr:rowOff>7620</xdr:rowOff>
        </xdr:to>
        <xdr:sp macro="" textlink="">
          <xdr:nvSpPr>
            <xdr:cNvPr id="2374" name="Check Box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1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16" Type="http://schemas.openxmlformats.org/officeDocument/2006/relationships/ctrlProp" Target="../ctrlProps/ctrlProp213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189" Type="http://schemas.openxmlformats.org/officeDocument/2006/relationships/ctrlProp" Target="../ctrlProps/ctrlProp186.xml"/><Relationship Id="rId219" Type="http://schemas.openxmlformats.org/officeDocument/2006/relationships/ctrlProp" Target="../ctrlProps/ctrlProp21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0" Type="http://schemas.openxmlformats.org/officeDocument/2006/relationships/ctrlProp" Target="../ctrlProps/ctrlProp217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85" Type="http://schemas.openxmlformats.org/officeDocument/2006/relationships/ctrlProp" Target="../ctrlProps/ctrlProp18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80" Type="http://schemas.openxmlformats.org/officeDocument/2006/relationships/ctrlProp" Target="../ctrlProps/ctrlProp177.xml"/><Relationship Id="rId210" Type="http://schemas.openxmlformats.org/officeDocument/2006/relationships/ctrlProp" Target="../ctrlProps/ctrlProp207.xml"/><Relationship Id="rId215" Type="http://schemas.openxmlformats.org/officeDocument/2006/relationships/ctrlProp" Target="../ctrlProps/ctrlProp212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2.bin"/><Relationship Id="rId212" Type="http://schemas.openxmlformats.org/officeDocument/2006/relationships/ctrlProp" Target="../ctrlProps/ctrlProp209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7" t="s">
        <v>74</v>
      </c>
      <c r="J3" s="217"/>
      <c r="K3" s="213" t="s">
        <v>329</v>
      </c>
      <c r="L3" s="21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8" t="s">
        <v>75</v>
      </c>
      <c r="J4" s="208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323</v>
      </c>
      <c r="J5" s="4"/>
      <c r="K5" s="4"/>
      <c r="L5" s="4"/>
      <c r="M5" s="1"/>
    </row>
    <row r="6" spans="1:13" ht="21" customHeight="1" x14ac:dyDescent="0.25">
      <c r="A6" s="215" t="s">
        <v>66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6"/>
    </row>
    <row r="7" spans="1:13" x14ac:dyDescent="0.25">
      <c r="A7" s="208" t="s">
        <v>2</v>
      </c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4"/>
    </row>
    <row r="8" spans="1:13" ht="15" x14ac:dyDescent="0.25">
      <c r="A8" s="15"/>
      <c r="B8" s="216" t="s">
        <v>76</v>
      </c>
      <c r="C8" s="216"/>
      <c r="D8" s="216"/>
      <c r="E8" s="216"/>
      <c r="F8" s="216"/>
      <c r="G8" s="216"/>
      <c r="H8" s="216"/>
      <c r="I8" s="216"/>
      <c r="J8" s="216"/>
      <c r="K8" s="21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6" t="str">
        <f>QUADRO!H7</f>
        <v xml:space="preserve">DSB      LR 97      </v>
      </c>
      <c r="D12" s="147"/>
      <c r="E12" s="218"/>
      <c r="F12" s="148"/>
      <c r="G12" s="146">
        <v>6</v>
      </c>
      <c r="H12" s="148"/>
      <c r="I12" s="192" t="str">
        <f>QUADRO!C7</f>
        <v>60894</v>
      </c>
      <c r="J12" s="193"/>
      <c r="K12" s="212" t="str">
        <f>QUADRO!G79</f>
        <v>09/2002</v>
      </c>
      <c r="L12" s="148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41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7" t="s">
        <v>321</v>
      </c>
      <c r="D15" s="157"/>
      <c r="E15" s="157"/>
      <c r="F15" s="158"/>
      <c r="G15" s="18">
        <v>36</v>
      </c>
      <c r="H15" s="12" t="s">
        <v>19</v>
      </c>
      <c r="I15" s="18">
        <v>1</v>
      </c>
      <c r="J15" s="12" t="s">
        <v>67</v>
      </c>
      <c r="K15" s="197">
        <v>25</v>
      </c>
      <c r="L15" s="158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73" t="s">
        <v>6</v>
      </c>
      <c r="D17" s="173"/>
      <c r="E17" s="173"/>
      <c r="F17" s="26"/>
      <c r="G17" s="173" t="s">
        <v>21</v>
      </c>
      <c r="H17" s="173"/>
      <c r="I17" s="173" t="s">
        <v>22</v>
      </c>
      <c r="J17" s="173"/>
      <c r="K17" s="173" t="s">
        <v>23</v>
      </c>
      <c r="L17" s="173"/>
      <c r="M17" s="26"/>
    </row>
    <row r="18" spans="1:13" s="46" customFormat="1" ht="9.9" customHeight="1" x14ac:dyDescent="0.25">
      <c r="A18" s="8" t="s">
        <v>24</v>
      </c>
      <c r="B18" s="1"/>
      <c r="C18" s="208" t="s">
        <v>25</v>
      </c>
      <c r="D18" s="208"/>
      <c r="E18" s="208"/>
      <c r="F18" s="1"/>
      <c r="G18" s="208" t="s">
        <v>26</v>
      </c>
      <c r="H18" s="208"/>
      <c r="I18" s="208" t="s">
        <v>27</v>
      </c>
      <c r="J18" s="208"/>
      <c r="K18" s="208" t="s">
        <v>28</v>
      </c>
      <c r="L18" s="208"/>
      <c r="M18" s="1"/>
    </row>
    <row r="19" spans="1:13" ht="15" x14ac:dyDescent="0.25">
      <c r="A19" s="3"/>
      <c r="B19" s="3"/>
      <c r="C19" s="178" t="str">
        <f>QUADRO!I56</f>
        <v>72956</v>
      </c>
      <c r="D19" s="179"/>
      <c r="E19" s="179"/>
      <c r="F19" s="180"/>
      <c r="G19" s="209">
        <f>QUADRO!I62</f>
        <v>3.59</v>
      </c>
      <c r="H19" s="209"/>
      <c r="I19" s="209">
        <f>QUADRO!I64</f>
        <v>0.18</v>
      </c>
      <c r="J19" s="209"/>
      <c r="K19" s="210" t="str">
        <f>QUADRO!I66</f>
        <v>07/22</v>
      </c>
      <c r="L19" s="211"/>
      <c r="M19" s="3"/>
    </row>
    <row r="20" spans="1:13" ht="15" x14ac:dyDescent="0.25">
      <c r="A20" s="3"/>
      <c r="B20" s="3"/>
      <c r="C20" s="181"/>
      <c r="D20" s="179"/>
      <c r="E20" s="179"/>
      <c r="F20" s="180"/>
      <c r="G20" s="209"/>
      <c r="H20" s="209"/>
      <c r="I20" s="209"/>
      <c r="J20" s="209"/>
      <c r="K20" s="210"/>
      <c r="L20" s="211"/>
      <c r="M20" s="3"/>
    </row>
    <row r="21" spans="1:13" ht="15" x14ac:dyDescent="0.25">
      <c r="A21" s="3"/>
      <c r="B21" s="3"/>
      <c r="C21" s="182"/>
      <c r="D21" s="183"/>
      <c r="E21" s="183"/>
      <c r="F21" s="184"/>
      <c r="G21" s="207"/>
      <c r="H21" s="207"/>
      <c r="I21" s="207"/>
      <c r="J21" s="207"/>
      <c r="K21" s="207"/>
      <c r="L21" s="207"/>
      <c r="M21" s="3"/>
    </row>
    <row r="22" spans="1:13" ht="15" x14ac:dyDescent="0.25">
      <c r="A22" s="3"/>
      <c r="B22" s="3"/>
      <c r="C22" s="182"/>
      <c r="D22" s="183"/>
      <c r="E22" s="183"/>
      <c r="F22" s="184"/>
      <c r="G22" s="207"/>
      <c r="H22" s="207"/>
      <c r="I22" s="207"/>
      <c r="J22" s="207"/>
      <c r="K22" s="207"/>
      <c r="L22" s="207"/>
      <c r="M22" s="3"/>
    </row>
    <row r="23" spans="1:13" ht="15" x14ac:dyDescent="0.25">
      <c r="A23" s="16"/>
      <c r="B23" s="16"/>
      <c r="C23" s="16"/>
      <c r="D23" s="16"/>
      <c r="E23" s="16"/>
      <c r="F23" s="142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73" t="s">
        <v>30</v>
      </c>
      <c r="D24" s="173"/>
      <c r="E24" s="173"/>
      <c r="F24" s="26"/>
      <c r="G24" s="173" t="s">
        <v>31</v>
      </c>
      <c r="H24" s="173"/>
      <c r="I24" s="173" t="s">
        <v>32</v>
      </c>
      <c r="J24" s="173"/>
      <c r="K24" s="173" t="s">
        <v>33</v>
      </c>
      <c r="L24" s="173"/>
      <c r="M24" s="25"/>
    </row>
    <row r="25" spans="1:13" s="46" customFormat="1" ht="9.75" customHeight="1" x14ac:dyDescent="0.25">
      <c r="A25" s="8" t="s">
        <v>80</v>
      </c>
      <c r="B25" s="8"/>
      <c r="C25" s="171"/>
      <c r="D25" s="171"/>
      <c r="E25" s="171"/>
      <c r="F25" s="143"/>
      <c r="G25" s="208" t="s">
        <v>34</v>
      </c>
      <c r="H25" s="208"/>
      <c r="I25" s="208" t="s">
        <v>25</v>
      </c>
      <c r="J25" s="208"/>
      <c r="K25" s="208" t="s">
        <v>35</v>
      </c>
      <c r="L25" s="208"/>
      <c r="M25" s="8"/>
    </row>
    <row r="26" spans="1:13" s="24" customFormat="1" ht="12.9" customHeight="1" x14ac:dyDescent="0.25">
      <c r="A26" s="25"/>
      <c r="B26" s="25"/>
      <c r="C26" s="188" t="s">
        <v>36</v>
      </c>
      <c r="D26" s="189"/>
      <c r="E26" s="189"/>
      <c r="F26" s="36"/>
      <c r="G26" s="201" t="str">
        <f>QUADRO!F47</f>
        <v>SOLAS "B"</v>
      </c>
      <c r="H26" s="177"/>
      <c r="I26" s="190" t="str">
        <f>QUADRO!C7</f>
        <v>60894</v>
      </c>
      <c r="J26" s="191"/>
      <c r="K26" s="203">
        <f>QUADRO!F81+366</f>
        <v>46226</v>
      </c>
      <c r="L26" s="204"/>
      <c r="M26" s="25"/>
    </row>
    <row r="27" spans="1:13" s="46" customFormat="1" ht="9.9" customHeight="1" x14ac:dyDescent="0.25">
      <c r="A27" s="8"/>
      <c r="B27" s="8"/>
      <c r="C27" s="194" t="s">
        <v>37</v>
      </c>
      <c r="D27" s="195"/>
      <c r="E27" s="195"/>
      <c r="F27" s="51"/>
      <c r="G27" s="146"/>
      <c r="H27" s="148"/>
      <c r="I27" s="192"/>
      <c r="J27" s="193"/>
      <c r="K27" s="205"/>
      <c r="L27" s="206"/>
      <c r="M27" s="8"/>
    </row>
    <row r="28" spans="1:13" s="24" customFormat="1" ht="12.9" customHeight="1" x14ac:dyDescent="0.25">
      <c r="A28" s="25"/>
      <c r="B28" s="25"/>
      <c r="C28" s="188" t="s">
        <v>38</v>
      </c>
      <c r="D28" s="189"/>
      <c r="E28" s="189"/>
      <c r="F28" s="36"/>
      <c r="G28" s="196"/>
      <c r="H28" s="174"/>
      <c r="I28" s="196"/>
      <c r="J28" s="174"/>
      <c r="K28" s="196"/>
      <c r="L28" s="174"/>
      <c r="M28" s="25"/>
    </row>
    <row r="29" spans="1:13" s="46" customFormat="1" ht="9.9" customHeight="1" x14ac:dyDescent="0.25">
      <c r="A29" s="8"/>
      <c r="B29" s="8"/>
      <c r="C29" s="202">
        <v>45474</v>
      </c>
      <c r="D29" s="195"/>
      <c r="E29" s="195"/>
      <c r="F29" s="51"/>
      <c r="G29" s="198"/>
      <c r="H29" s="199"/>
      <c r="I29" s="198"/>
      <c r="J29" s="199"/>
      <c r="K29" s="198"/>
      <c r="L29" s="199"/>
      <c r="M29" s="8"/>
    </row>
    <row r="30" spans="1:13" s="24" customFormat="1" ht="12.9" customHeight="1" x14ac:dyDescent="0.25">
      <c r="A30" s="25"/>
      <c r="B30" s="25"/>
      <c r="C30" s="188" t="s">
        <v>39</v>
      </c>
      <c r="D30" s="189"/>
      <c r="E30" s="189"/>
      <c r="F30" s="36"/>
      <c r="G30" s="196"/>
      <c r="H30" s="174"/>
      <c r="I30" s="196"/>
      <c r="J30" s="174"/>
      <c r="K30" s="196"/>
      <c r="L30" s="174"/>
      <c r="M30" s="25"/>
    </row>
    <row r="31" spans="1:13" s="46" customFormat="1" ht="9.9" customHeight="1" x14ac:dyDescent="0.25">
      <c r="A31" s="8"/>
      <c r="B31" s="8"/>
      <c r="C31" s="194" t="s">
        <v>40</v>
      </c>
      <c r="D31" s="195"/>
      <c r="E31" s="195"/>
      <c r="F31" s="51"/>
      <c r="G31" s="198"/>
      <c r="H31" s="199"/>
      <c r="I31" s="198"/>
      <c r="J31" s="199"/>
      <c r="K31" s="198"/>
      <c r="L31" s="199"/>
      <c r="M31" s="8"/>
    </row>
    <row r="32" spans="1:13" s="24" customFormat="1" ht="12.9" customHeight="1" x14ac:dyDescent="0.25">
      <c r="A32" s="25"/>
      <c r="B32" s="25"/>
      <c r="C32" s="188" t="s">
        <v>41</v>
      </c>
      <c r="D32" s="189"/>
      <c r="E32" s="189"/>
      <c r="F32" s="36"/>
      <c r="G32" s="196"/>
      <c r="H32" s="156"/>
      <c r="I32" s="196"/>
      <c r="J32" s="174"/>
      <c r="K32" s="196" t="s">
        <v>1</v>
      </c>
      <c r="L32" s="174"/>
      <c r="M32" s="25"/>
    </row>
    <row r="33" spans="1:13" s="46" customFormat="1" ht="9.9" customHeight="1" x14ac:dyDescent="0.25">
      <c r="A33" s="8"/>
      <c r="B33" s="8"/>
      <c r="C33" s="194" t="s">
        <v>42</v>
      </c>
      <c r="D33" s="195"/>
      <c r="E33" s="195"/>
      <c r="F33" s="51"/>
      <c r="G33" s="197"/>
      <c r="H33" s="158"/>
      <c r="I33" s="198"/>
      <c r="J33" s="199"/>
      <c r="K33" s="198"/>
      <c r="L33" s="199"/>
      <c r="M33" s="8"/>
    </row>
    <row r="34" spans="1:13" s="24" customFormat="1" ht="12.75" customHeight="1" x14ac:dyDescent="0.25">
      <c r="A34" s="25"/>
      <c r="B34" s="25"/>
      <c r="C34" s="188" t="s">
        <v>43</v>
      </c>
      <c r="D34" s="189"/>
      <c r="E34" s="189"/>
      <c r="F34" s="36"/>
      <c r="G34" s="196" t="s">
        <v>300</v>
      </c>
      <c r="H34" s="174"/>
      <c r="I34" s="196" t="s">
        <v>299</v>
      </c>
      <c r="J34" s="174"/>
      <c r="K34" s="190" t="str">
        <f>QUADRO!J13</f>
        <v>09/2026</v>
      </c>
      <c r="L34" s="191"/>
      <c r="M34" s="25"/>
    </row>
    <row r="35" spans="1:13" s="46" customFormat="1" ht="9.9" customHeight="1" x14ac:dyDescent="0.25">
      <c r="A35" s="8"/>
      <c r="B35" s="8"/>
      <c r="C35" s="194" t="s">
        <v>44</v>
      </c>
      <c r="D35" s="195"/>
      <c r="E35" s="195"/>
      <c r="F35" s="51"/>
      <c r="G35" s="198"/>
      <c r="H35" s="199"/>
      <c r="I35" s="198"/>
      <c r="J35" s="199"/>
      <c r="K35" s="192"/>
      <c r="L35" s="19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200"/>
      <c r="D37" s="200"/>
      <c r="E37" s="200"/>
      <c r="F37" s="19"/>
      <c r="G37" s="200"/>
      <c r="H37" s="200"/>
      <c r="I37" s="200"/>
      <c r="J37" s="200"/>
      <c r="K37" s="200"/>
      <c r="L37" s="200"/>
      <c r="M37" s="5"/>
    </row>
    <row r="38" spans="1:13" s="24" customFormat="1" ht="12.9" customHeight="1" x14ac:dyDescent="0.25">
      <c r="A38" s="25" t="s">
        <v>45</v>
      </c>
      <c r="B38" s="25"/>
      <c r="C38" s="173" t="s">
        <v>46</v>
      </c>
      <c r="D38" s="173"/>
      <c r="E38" s="173"/>
      <c r="F38" s="26"/>
      <c r="G38" s="173" t="s">
        <v>47</v>
      </c>
      <c r="H38" s="173"/>
      <c r="I38" s="173" t="s">
        <v>48</v>
      </c>
      <c r="J38" s="173"/>
      <c r="K38" s="173" t="s">
        <v>49</v>
      </c>
      <c r="L38" s="173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155" t="s">
        <v>305</v>
      </c>
      <c r="F40" s="156"/>
      <c r="G40" s="35" t="s">
        <v>51</v>
      </c>
      <c r="H40" s="174" t="s">
        <v>302</v>
      </c>
      <c r="I40" s="35" t="s">
        <v>72</v>
      </c>
      <c r="J40" s="174" t="s">
        <v>305</v>
      </c>
      <c r="K40" s="35" t="s">
        <v>51</v>
      </c>
      <c r="L40" s="174" t="s">
        <v>299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57"/>
      <c r="F41" s="158"/>
      <c r="G41" s="49" t="s">
        <v>52</v>
      </c>
      <c r="H41" s="158"/>
      <c r="I41" s="49" t="s">
        <v>52</v>
      </c>
      <c r="J41" s="158"/>
      <c r="K41" s="49" t="s">
        <v>52</v>
      </c>
      <c r="L41" s="158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76" t="s">
        <v>327</v>
      </c>
      <c r="F42" s="177"/>
      <c r="G42" s="35" t="s">
        <v>53</v>
      </c>
      <c r="H42" s="175" t="s">
        <v>328</v>
      </c>
      <c r="I42" s="35" t="s">
        <v>53</v>
      </c>
      <c r="J42" s="175" t="s">
        <v>327</v>
      </c>
      <c r="K42" s="35" t="s">
        <v>53</v>
      </c>
      <c r="L42" s="175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47"/>
      <c r="F43" s="148"/>
      <c r="G43" s="49" t="s">
        <v>54</v>
      </c>
      <c r="H43" s="148"/>
      <c r="I43" s="49" t="s">
        <v>54</v>
      </c>
      <c r="J43" s="148"/>
      <c r="K43" s="49" t="s">
        <v>54</v>
      </c>
      <c r="L43" s="148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150" t="str">
        <f>QUADRO!F81</f>
        <v>22-07-2025</v>
      </c>
      <c r="D47" s="159"/>
      <c r="E47" s="159"/>
      <c r="F47" s="160"/>
      <c r="G47" s="146" t="str">
        <f>QUADRO!C81</f>
        <v>OREY TÉCNICA</v>
      </c>
      <c r="H47" s="147"/>
      <c r="I47" s="147"/>
      <c r="J47" s="148"/>
      <c r="K47" s="150">
        <f>C47+365</f>
        <v>46225</v>
      </c>
      <c r="L47" s="14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5" t="s">
        <v>77</v>
      </c>
      <c r="D49" s="186"/>
      <c r="E49" s="186"/>
      <c r="F49" s="53" t="s">
        <v>84</v>
      </c>
      <c r="G49" s="54"/>
      <c r="H49" s="54"/>
      <c r="I49" s="39"/>
      <c r="J49" s="144"/>
      <c r="K49" s="39"/>
      <c r="L49" s="38"/>
      <c r="M49" s="23"/>
    </row>
    <row r="50" spans="1:13" ht="14.25" customHeight="1" x14ac:dyDescent="0.25">
      <c r="A50" s="4"/>
      <c r="B50" s="4"/>
      <c r="C50" s="187" t="s">
        <v>78</v>
      </c>
      <c r="D50" s="170"/>
      <c r="E50" s="170"/>
      <c r="F50" s="161" t="s">
        <v>326</v>
      </c>
      <c r="G50" s="162"/>
      <c r="H50" s="162"/>
      <c r="I50" s="162"/>
      <c r="J50" s="162"/>
      <c r="K50" s="162"/>
      <c r="L50" s="163"/>
      <c r="M50" s="4"/>
    </row>
    <row r="51" spans="1:13" ht="12.75" customHeight="1" x14ac:dyDescent="0.25">
      <c r="A51" s="4"/>
      <c r="B51" s="4"/>
      <c r="C51" s="151"/>
      <c r="D51" s="152"/>
      <c r="E51" s="152"/>
      <c r="F51" s="161"/>
      <c r="G51" s="162"/>
      <c r="H51" s="162"/>
      <c r="I51" s="162"/>
      <c r="J51" s="162"/>
      <c r="K51" s="162"/>
      <c r="L51" s="163"/>
      <c r="M51" s="4"/>
    </row>
    <row r="52" spans="1:13" ht="15" customHeight="1" x14ac:dyDescent="0.25">
      <c r="A52" s="2"/>
      <c r="B52" s="2"/>
      <c r="C52" s="153"/>
      <c r="D52" s="154"/>
      <c r="E52" s="154"/>
      <c r="F52" s="164"/>
      <c r="G52" s="165"/>
      <c r="H52" s="165"/>
      <c r="I52" s="165"/>
      <c r="J52" s="165"/>
      <c r="K52" s="165"/>
      <c r="L52" s="166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7" t="s">
        <v>79</v>
      </c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2"/>
    </row>
    <row r="55" spans="1:13" ht="15" x14ac:dyDescent="0.25">
      <c r="A55" s="2"/>
      <c r="B55" s="208" t="s">
        <v>81</v>
      </c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70" t="s">
        <v>85</v>
      </c>
      <c r="B57" s="170"/>
      <c r="C57" s="22"/>
      <c r="D57" s="220" t="s">
        <v>320</v>
      </c>
      <c r="E57" s="22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71" t="s">
        <v>63</v>
      </c>
      <c r="B58" s="171"/>
      <c r="C58" s="22"/>
      <c r="D58" s="220"/>
      <c r="E58" s="22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70" t="s">
        <v>64</v>
      </c>
      <c r="B59" s="170"/>
      <c r="C59" s="41" t="s">
        <v>1</v>
      </c>
      <c r="D59" s="221"/>
      <c r="E59" s="221"/>
      <c r="F59" s="45"/>
      <c r="G59" s="28"/>
      <c r="H59" s="27"/>
      <c r="I59" s="169" t="s">
        <v>73</v>
      </c>
      <c r="J59" s="169"/>
      <c r="K59" s="169"/>
      <c r="L59" s="169"/>
      <c r="M59" s="23"/>
    </row>
    <row r="60" spans="1:13" ht="9.75" customHeight="1" x14ac:dyDescent="0.25">
      <c r="A60" s="172"/>
      <c r="B60" s="172"/>
      <c r="C60" s="41"/>
      <c r="D60" s="221"/>
      <c r="E60" s="221"/>
      <c r="F60" s="45"/>
      <c r="G60" s="11"/>
      <c r="H60" s="3"/>
      <c r="I60" s="149" t="s">
        <v>83</v>
      </c>
      <c r="J60" s="149"/>
      <c r="K60" s="149"/>
      <c r="L60" s="149"/>
      <c r="M60" s="2"/>
    </row>
    <row r="61" spans="1:13" s="24" customFormat="1" ht="14.1" customHeight="1" x14ac:dyDescent="0.25">
      <c r="A61" s="40" t="s">
        <v>86</v>
      </c>
      <c r="B61" s="40"/>
      <c r="C61" s="22"/>
      <c r="D61" s="220"/>
      <c r="E61" s="22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71" t="s">
        <v>65</v>
      </c>
      <c r="B62" s="171"/>
      <c r="C62" s="22"/>
      <c r="D62" s="220"/>
      <c r="E62" s="22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70" t="s">
        <v>71</v>
      </c>
      <c r="B63" s="170"/>
      <c r="C63" s="22"/>
      <c r="D63" s="222" t="str">
        <f>QUADRO!E7</f>
        <v>MARRACHINHO</v>
      </c>
      <c r="E63" s="222"/>
      <c r="F63" s="222"/>
      <c r="G63" s="222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71" t="s">
        <v>70</v>
      </c>
      <c r="B64" s="171"/>
      <c r="C64" s="22"/>
      <c r="D64" s="222"/>
      <c r="E64" s="222"/>
      <c r="F64" s="222"/>
      <c r="G64" s="222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70" t="s">
        <v>68</v>
      </c>
      <c r="B65" s="170"/>
      <c r="C65" s="22"/>
      <c r="D65" s="223" t="s">
        <v>319</v>
      </c>
      <c r="E65" s="220"/>
      <c r="F65" s="220"/>
      <c r="G65" s="220"/>
      <c r="H65" s="220"/>
      <c r="I65" s="220"/>
      <c r="J65" s="168"/>
      <c r="K65" s="168"/>
      <c r="L65" s="23"/>
      <c r="M65" s="23"/>
    </row>
    <row r="66" spans="1:13" s="46" customFormat="1" ht="9.9" customHeight="1" x14ac:dyDescent="0.25">
      <c r="A66" s="171" t="s">
        <v>69</v>
      </c>
      <c r="B66" s="171"/>
      <c r="C66" s="22"/>
      <c r="D66" s="220"/>
      <c r="E66" s="220"/>
      <c r="F66" s="220"/>
      <c r="G66" s="220"/>
      <c r="H66" s="220"/>
      <c r="I66" s="220"/>
      <c r="J66" s="208" t="s">
        <v>0</v>
      </c>
      <c r="K66" s="208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9" t="s">
        <v>303</v>
      </c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</row>
    <row r="70" spans="1:13" x14ac:dyDescent="0.25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</row>
    <row r="71" spans="1:13" x14ac:dyDescent="0.25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</row>
    <row r="72" spans="1:13" x14ac:dyDescent="0.25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</row>
    <row r="73" spans="1:13" x14ac:dyDescent="0.25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</row>
    <row r="74" spans="1:13" x14ac:dyDescent="0.25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</row>
    <row r="75" spans="1:13" x14ac:dyDescent="0.25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</row>
    <row r="76" spans="1:13" x14ac:dyDescent="0.25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</row>
    <row r="77" spans="1:13" x14ac:dyDescent="0.25">
      <c r="G77" s="216" t="s">
        <v>82</v>
      </c>
      <c r="H77" s="216"/>
    </row>
    <row r="81" spans="6:6" x14ac:dyDescent="0.25">
      <c r="F81" s="145">
        <v>45124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4" t="s">
        <v>87</v>
      </c>
      <c r="E3" s="294"/>
      <c r="F3" s="294"/>
      <c r="G3" s="294"/>
      <c r="H3" s="295" t="s">
        <v>88</v>
      </c>
      <c r="I3" s="297"/>
      <c r="J3" s="298"/>
    </row>
    <row r="4" spans="2:15" s="58" customFormat="1" ht="23.4" customHeight="1" x14ac:dyDescent="0.4">
      <c r="B4" s="56" t="s">
        <v>89</v>
      </c>
      <c r="C4" s="57"/>
      <c r="D4" s="299" t="s">
        <v>90</v>
      </c>
      <c r="E4" s="299"/>
      <c r="F4" s="299"/>
      <c r="G4" s="299"/>
      <c r="H4" s="296"/>
      <c r="I4" s="298"/>
      <c r="J4" s="298"/>
    </row>
    <row r="5" spans="2:15" s="58" customFormat="1" ht="23.4" customHeight="1" x14ac:dyDescent="0.4">
      <c r="B5" s="56" t="s">
        <v>91</v>
      </c>
      <c r="C5" s="56"/>
      <c r="H5" s="300" t="s">
        <v>92</v>
      </c>
      <c r="I5" s="302" t="s">
        <v>329</v>
      </c>
      <c r="J5" s="30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1"/>
      <c r="I6" s="304"/>
      <c r="J6" s="304"/>
    </row>
    <row r="7" spans="2:15" ht="23.4" customHeight="1" x14ac:dyDescent="0.3">
      <c r="B7" s="76" t="s">
        <v>93</v>
      </c>
      <c r="C7" s="239" t="s">
        <v>314</v>
      </c>
      <c r="D7" s="76" t="s">
        <v>94</v>
      </c>
      <c r="E7" s="224" t="s">
        <v>313</v>
      </c>
      <c r="F7" s="241"/>
      <c r="G7" s="77" t="s">
        <v>95</v>
      </c>
      <c r="H7" s="224" t="s">
        <v>312</v>
      </c>
      <c r="I7" s="225"/>
      <c r="J7" s="226"/>
    </row>
    <row r="8" spans="2:15" ht="23.4" customHeight="1" x14ac:dyDescent="0.3">
      <c r="B8" s="78" t="s">
        <v>96</v>
      </c>
      <c r="C8" s="240"/>
      <c r="D8" s="78" t="s">
        <v>97</v>
      </c>
      <c r="E8" s="242"/>
      <c r="F8" s="243"/>
      <c r="G8" s="79" t="s">
        <v>98</v>
      </c>
      <c r="H8" s="227"/>
      <c r="I8" s="228"/>
      <c r="J8" s="229"/>
    </row>
    <row r="9" spans="2:15" ht="5.25" customHeight="1" x14ac:dyDescent="0.3">
      <c r="B9" s="80"/>
      <c r="C9" s="81"/>
      <c r="D9" s="82"/>
      <c r="E9" s="82"/>
      <c r="F9" s="81"/>
      <c r="G9" s="83"/>
      <c r="H9" s="83"/>
      <c r="I9" s="84"/>
      <c r="J9" s="85"/>
    </row>
    <row r="10" spans="2:15" s="59" customFormat="1" ht="23.4" customHeight="1" x14ac:dyDescent="0.4">
      <c r="B10" s="86" t="s">
        <v>99</v>
      </c>
      <c r="C10" s="87"/>
      <c r="D10" s="76" t="s">
        <v>100</v>
      </c>
      <c r="E10" s="88"/>
      <c r="F10" s="89"/>
      <c r="G10" s="76" t="s">
        <v>101</v>
      </c>
      <c r="H10" s="88"/>
      <c r="I10" s="90"/>
      <c r="J10" s="91"/>
    </row>
    <row r="11" spans="2:15" ht="23.4" customHeight="1" x14ac:dyDescent="0.4">
      <c r="B11" s="92" t="s">
        <v>102</v>
      </c>
      <c r="C11" s="93"/>
      <c r="D11" s="80" t="s">
        <v>103</v>
      </c>
      <c r="E11" s="82"/>
      <c r="F11" s="94"/>
      <c r="G11" s="80" t="s">
        <v>104</v>
      </c>
      <c r="H11" s="82"/>
      <c r="I11" s="95"/>
      <c r="J11" s="96"/>
    </row>
    <row r="12" spans="2:15" s="59" customFormat="1" ht="23.4" customHeight="1" x14ac:dyDescent="0.4">
      <c r="B12" s="76" t="s">
        <v>105</v>
      </c>
      <c r="C12" s="89"/>
      <c r="D12" s="76" t="s">
        <v>106</v>
      </c>
      <c r="E12" s="88"/>
      <c r="F12" s="89"/>
      <c r="G12" s="76" t="s">
        <v>107</v>
      </c>
      <c r="H12" s="88"/>
      <c r="I12" s="90"/>
      <c r="J12" s="91"/>
      <c r="O12" s="59" t="s">
        <v>1</v>
      </c>
    </row>
    <row r="13" spans="2:15" ht="23.4" customHeight="1" x14ac:dyDescent="0.4">
      <c r="B13" s="78" t="s">
        <v>108</v>
      </c>
      <c r="C13" s="97"/>
      <c r="D13" s="78" t="s">
        <v>109</v>
      </c>
      <c r="E13" s="98"/>
      <c r="F13" s="97"/>
      <c r="G13" s="78" t="s">
        <v>110</v>
      </c>
      <c r="H13" s="98"/>
      <c r="I13" s="70"/>
      <c r="J13" s="65" t="s">
        <v>324</v>
      </c>
    </row>
    <row r="14" spans="2:15" s="59" customFormat="1" ht="23.4" customHeight="1" x14ac:dyDescent="0.4">
      <c r="B14" s="99" t="s">
        <v>111</v>
      </c>
      <c r="C14" s="95"/>
      <c r="D14" s="99" t="s">
        <v>112</v>
      </c>
      <c r="E14" s="100"/>
      <c r="F14" s="94"/>
      <c r="G14" s="99" t="s">
        <v>113</v>
      </c>
      <c r="H14" s="100"/>
      <c r="I14" s="95"/>
      <c r="J14" s="96"/>
      <c r="O14" s="59" t="s">
        <v>1</v>
      </c>
    </row>
    <row r="15" spans="2:15" ht="23.4" customHeight="1" x14ac:dyDescent="0.4">
      <c r="B15" s="80" t="s">
        <v>114</v>
      </c>
      <c r="C15" s="95"/>
      <c r="D15" s="80" t="s">
        <v>115</v>
      </c>
      <c r="E15" s="82"/>
      <c r="F15" s="94"/>
      <c r="G15" s="78" t="s">
        <v>116</v>
      </c>
      <c r="H15" s="98"/>
      <c r="I15" s="70"/>
      <c r="J15" s="65" t="s">
        <v>330</v>
      </c>
    </row>
    <row r="16" spans="2:15" s="59" customFormat="1" ht="23.4" customHeight="1" x14ac:dyDescent="0.4">
      <c r="B16" s="76" t="s">
        <v>117</v>
      </c>
      <c r="C16" s="89"/>
      <c r="D16" s="76" t="s">
        <v>118</v>
      </c>
      <c r="E16" s="88"/>
      <c r="F16" s="89"/>
      <c r="G16" s="76" t="s">
        <v>119</v>
      </c>
      <c r="H16" s="88"/>
      <c r="I16" s="90"/>
      <c r="J16" s="91"/>
    </row>
    <row r="17" spans="2:10" ht="23.4" customHeight="1" x14ac:dyDescent="0.4">
      <c r="B17" s="78" t="s">
        <v>120</v>
      </c>
      <c r="C17" s="97"/>
      <c r="D17" s="78" t="s">
        <v>121</v>
      </c>
      <c r="E17" s="98"/>
      <c r="F17" s="97"/>
      <c r="G17" s="78" t="s">
        <v>122</v>
      </c>
      <c r="H17" s="98"/>
      <c r="I17" s="70"/>
      <c r="J17" s="65" t="s">
        <v>331</v>
      </c>
    </row>
    <row r="18" spans="2:10" s="59" customFormat="1" ht="23.4" customHeight="1" x14ac:dyDescent="0.4">
      <c r="B18" s="99" t="s">
        <v>123</v>
      </c>
      <c r="C18" s="95"/>
      <c r="D18" s="99" t="s">
        <v>124</v>
      </c>
      <c r="E18" s="100"/>
      <c r="F18" s="94"/>
      <c r="G18" s="76" t="s">
        <v>125</v>
      </c>
      <c r="H18" s="88"/>
      <c r="I18" s="90"/>
      <c r="J18" s="101"/>
    </row>
    <row r="19" spans="2:10" ht="23.4" customHeight="1" x14ac:dyDescent="0.4">
      <c r="B19" s="80" t="s">
        <v>126</v>
      </c>
      <c r="C19" s="95"/>
      <c r="D19" s="80" t="s">
        <v>127</v>
      </c>
      <c r="E19" s="82"/>
      <c r="F19" s="94"/>
      <c r="G19" s="78" t="s">
        <v>128</v>
      </c>
      <c r="H19" s="98"/>
      <c r="I19" s="70"/>
      <c r="J19" s="65" t="s">
        <v>332</v>
      </c>
    </row>
    <row r="20" spans="2:10" s="59" customFormat="1" ht="23.4" customHeight="1" x14ac:dyDescent="0.4">
      <c r="B20" s="76" t="s">
        <v>106</v>
      </c>
      <c r="C20" s="89"/>
      <c r="D20" s="76" t="s">
        <v>129</v>
      </c>
      <c r="E20" s="88"/>
      <c r="F20" s="89"/>
      <c r="G20" s="76" t="s">
        <v>130</v>
      </c>
      <c r="H20" s="88"/>
      <c r="I20" s="90"/>
      <c r="J20" s="91"/>
    </row>
    <row r="21" spans="2:10" ht="23.4" customHeight="1" x14ac:dyDescent="0.4">
      <c r="B21" s="78" t="s">
        <v>131</v>
      </c>
      <c r="C21" s="97"/>
      <c r="D21" s="78" t="s">
        <v>132</v>
      </c>
      <c r="E21" s="98"/>
      <c r="F21" s="97"/>
      <c r="G21" s="78" t="s">
        <v>133</v>
      </c>
      <c r="H21" s="98"/>
      <c r="I21" s="70" t="s">
        <v>325</v>
      </c>
      <c r="J21" s="65" t="s">
        <v>333</v>
      </c>
    </row>
    <row r="22" spans="2:10" s="59" customFormat="1" ht="23.4" customHeight="1" x14ac:dyDescent="0.4">
      <c r="B22" s="99" t="s">
        <v>134</v>
      </c>
      <c r="C22" s="95"/>
      <c r="D22" s="99" t="s">
        <v>135</v>
      </c>
      <c r="E22" s="100"/>
      <c r="F22" s="94"/>
      <c r="G22" s="100" t="s">
        <v>136</v>
      </c>
      <c r="H22" s="100"/>
      <c r="I22" s="95"/>
      <c r="J22" s="96"/>
    </row>
    <row r="23" spans="2:10" ht="23.4" customHeight="1" x14ac:dyDescent="0.4">
      <c r="B23" s="80" t="s">
        <v>137</v>
      </c>
      <c r="C23" s="95"/>
      <c r="D23" s="80" t="s">
        <v>138</v>
      </c>
      <c r="E23" s="82"/>
      <c r="F23" s="65" t="s">
        <v>331</v>
      </c>
      <c r="G23" s="98" t="s">
        <v>139</v>
      </c>
      <c r="H23" s="98"/>
      <c r="I23" s="102"/>
      <c r="J23" s="103"/>
    </row>
    <row r="24" spans="2:10" s="59" customFormat="1" ht="23.4" customHeight="1" x14ac:dyDescent="0.4">
      <c r="B24" s="76" t="s">
        <v>140</v>
      </c>
      <c r="C24" s="89"/>
      <c r="D24" s="76" t="s">
        <v>141</v>
      </c>
      <c r="E24" s="88"/>
      <c r="F24" s="89"/>
      <c r="G24" s="76" t="s">
        <v>142</v>
      </c>
      <c r="H24" s="88"/>
      <c r="I24" s="90"/>
      <c r="J24" s="91"/>
    </row>
    <row r="25" spans="2:10" ht="23.4" customHeight="1" x14ac:dyDescent="0.4">
      <c r="B25" s="78" t="s">
        <v>143</v>
      </c>
      <c r="C25" s="97"/>
      <c r="D25" s="78" t="s">
        <v>144</v>
      </c>
      <c r="E25" s="98"/>
      <c r="F25" s="65" t="s">
        <v>335</v>
      </c>
      <c r="G25" s="78" t="s">
        <v>145</v>
      </c>
      <c r="H25" s="98"/>
      <c r="I25" s="70" t="s">
        <v>310</v>
      </c>
      <c r="J25" s="65" t="s">
        <v>301</v>
      </c>
    </row>
    <row r="26" spans="2:10" s="59" customFormat="1" ht="23.4" customHeight="1" x14ac:dyDescent="0.4">
      <c r="B26" s="76" t="s">
        <v>146</v>
      </c>
      <c r="C26" s="89"/>
      <c r="D26" s="100" t="s">
        <v>147</v>
      </c>
      <c r="E26" s="100"/>
      <c r="F26" s="94"/>
      <c r="G26" s="99" t="s">
        <v>148</v>
      </c>
      <c r="H26" s="100"/>
      <c r="I26" s="95"/>
      <c r="J26" s="96"/>
    </row>
    <row r="27" spans="2:10" ht="23.4" customHeight="1" x14ac:dyDescent="0.4">
      <c r="B27" s="78" t="s">
        <v>149</v>
      </c>
      <c r="C27" s="97"/>
      <c r="D27" s="82" t="s">
        <v>150</v>
      </c>
      <c r="E27" s="82"/>
      <c r="F27" s="94"/>
      <c r="G27" s="78" t="s">
        <v>151</v>
      </c>
      <c r="H27" s="98"/>
      <c r="I27" s="102"/>
      <c r="J27" s="104"/>
    </row>
    <row r="28" spans="2:10" s="59" customFormat="1" ht="23.4" customHeight="1" x14ac:dyDescent="0.4">
      <c r="B28" s="76" t="s">
        <v>152</v>
      </c>
      <c r="C28" s="89"/>
      <c r="D28" s="88" t="s">
        <v>153</v>
      </c>
      <c r="E28" s="88"/>
      <c r="F28" s="89"/>
      <c r="G28" s="76" t="s">
        <v>154</v>
      </c>
      <c r="H28" s="88"/>
      <c r="I28" s="90"/>
      <c r="J28" s="91"/>
    </row>
    <row r="29" spans="2:10" ht="23.4" customHeight="1" x14ac:dyDescent="0.4">
      <c r="B29" s="78" t="s">
        <v>155</v>
      </c>
      <c r="C29" s="65" t="s">
        <v>334</v>
      </c>
      <c r="D29" s="98" t="s">
        <v>156</v>
      </c>
      <c r="E29" s="98"/>
      <c r="F29" s="97"/>
      <c r="G29" s="78" t="s">
        <v>157</v>
      </c>
      <c r="H29" s="98"/>
      <c r="I29" s="102"/>
      <c r="J29" s="104"/>
    </row>
    <row r="30" spans="2:10" s="59" customFormat="1" ht="23.4" customHeight="1" x14ac:dyDescent="0.4">
      <c r="B30" s="76" t="s">
        <v>158</v>
      </c>
      <c r="C30" s="89"/>
      <c r="D30" s="99" t="s">
        <v>159</v>
      </c>
      <c r="E30" s="100"/>
      <c r="F30" s="94"/>
      <c r="G30" s="76" t="s">
        <v>160</v>
      </c>
      <c r="H30" s="88"/>
      <c r="I30" s="90"/>
      <c r="J30" s="91"/>
    </row>
    <row r="31" spans="2:10" ht="23.4" customHeight="1" x14ac:dyDescent="0.4">
      <c r="B31" s="78" t="s">
        <v>161</v>
      </c>
      <c r="C31" s="65"/>
      <c r="D31" s="80" t="s">
        <v>162</v>
      </c>
      <c r="E31" s="82"/>
      <c r="F31" s="94"/>
      <c r="G31" s="78" t="s">
        <v>163</v>
      </c>
      <c r="H31" s="98"/>
      <c r="I31" s="102"/>
      <c r="J31" s="104"/>
    </row>
    <row r="32" spans="2:10" s="59" customFormat="1" ht="23.4" customHeight="1" x14ac:dyDescent="0.4">
      <c r="B32" s="99" t="s">
        <v>164</v>
      </c>
      <c r="C32" s="94"/>
      <c r="D32" s="76" t="s">
        <v>165</v>
      </c>
      <c r="E32" s="88"/>
      <c r="F32" s="89"/>
      <c r="G32" s="76" t="s">
        <v>166</v>
      </c>
      <c r="H32" s="88"/>
      <c r="I32" s="90"/>
      <c r="J32" s="91"/>
    </row>
    <row r="33" spans="2:10" ht="23.4" customHeight="1" x14ac:dyDescent="0.4">
      <c r="B33" s="78" t="s">
        <v>167</v>
      </c>
      <c r="C33" s="97"/>
      <c r="D33" s="78" t="s">
        <v>168</v>
      </c>
      <c r="E33" s="98"/>
      <c r="F33" s="97"/>
      <c r="G33" s="78" t="s">
        <v>169</v>
      </c>
      <c r="H33" s="98"/>
      <c r="I33" s="102"/>
      <c r="J33" s="104"/>
    </row>
    <row r="34" spans="2:10" s="59" customFormat="1" ht="23.4" customHeight="1" x14ac:dyDescent="0.4">
      <c r="B34" s="99" t="s">
        <v>170</v>
      </c>
      <c r="C34" s="95"/>
      <c r="D34" s="105" t="s">
        <v>171</v>
      </c>
      <c r="E34" s="106"/>
      <c r="F34" s="107"/>
      <c r="G34" s="76" t="s">
        <v>172</v>
      </c>
      <c r="H34" s="88"/>
      <c r="I34" s="90"/>
      <c r="J34" s="91"/>
    </row>
    <row r="35" spans="2:10" ht="23.4" customHeight="1" x14ac:dyDescent="0.4">
      <c r="B35" s="80" t="s">
        <v>173</v>
      </c>
      <c r="C35" s="108" t="s">
        <v>315</v>
      </c>
      <c r="D35" s="92" t="s">
        <v>174</v>
      </c>
      <c r="E35" s="109"/>
      <c r="F35" s="64"/>
      <c r="G35" s="78" t="s">
        <v>175</v>
      </c>
      <c r="H35" s="98"/>
      <c r="I35" s="102"/>
      <c r="J35" s="104"/>
    </row>
    <row r="36" spans="2:10" s="59" customFormat="1" ht="23.4" customHeight="1" x14ac:dyDescent="0.4">
      <c r="B36" s="76" t="s">
        <v>176</v>
      </c>
      <c r="C36" s="89"/>
      <c r="D36" s="76" t="s">
        <v>177</v>
      </c>
      <c r="E36" s="88"/>
      <c r="F36" s="89"/>
      <c r="G36" s="88" t="s">
        <v>178</v>
      </c>
      <c r="H36" s="88"/>
      <c r="I36" s="90"/>
      <c r="J36" s="91"/>
    </row>
    <row r="37" spans="2:10" ht="23.4" customHeight="1" x14ac:dyDescent="0.4">
      <c r="B37" s="78" t="s">
        <v>179</v>
      </c>
      <c r="C37" s="97"/>
      <c r="D37" s="78" t="s">
        <v>180</v>
      </c>
      <c r="E37" s="98"/>
      <c r="F37" s="65" t="s">
        <v>307</v>
      </c>
      <c r="G37" s="98" t="s">
        <v>181</v>
      </c>
      <c r="H37" s="98"/>
      <c r="I37" s="102"/>
      <c r="J37" s="104"/>
    </row>
    <row r="38" spans="2:10" s="59" customFormat="1" ht="23.4" customHeight="1" x14ac:dyDescent="0.4">
      <c r="B38" s="99" t="s">
        <v>182</v>
      </c>
      <c r="C38" s="95"/>
      <c r="D38" s="99" t="s">
        <v>183</v>
      </c>
      <c r="E38" s="100"/>
      <c r="F38" s="94"/>
      <c r="G38" s="76" t="s">
        <v>184</v>
      </c>
      <c r="H38" s="88"/>
      <c r="I38" s="90"/>
      <c r="J38" s="91"/>
    </row>
    <row r="39" spans="2:10" ht="23.4" customHeight="1" x14ac:dyDescent="0.4">
      <c r="B39" s="80" t="s">
        <v>179</v>
      </c>
      <c r="C39" s="95"/>
      <c r="D39" s="80" t="s">
        <v>185</v>
      </c>
      <c r="E39" s="82"/>
      <c r="F39" s="94"/>
      <c r="G39" s="78" t="s">
        <v>186</v>
      </c>
      <c r="H39" s="98"/>
      <c r="I39" s="102"/>
      <c r="J39" s="104"/>
    </row>
    <row r="40" spans="2:10" s="59" customFormat="1" ht="23.4" customHeight="1" x14ac:dyDescent="0.4">
      <c r="B40" s="76" t="s">
        <v>187</v>
      </c>
      <c r="C40" s="89"/>
      <c r="D40" s="76" t="s">
        <v>188</v>
      </c>
      <c r="E40" s="88"/>
      <c r="F40" s="89"/>
      <c r="G40" s="88" t="s">
        <v>189</v>
      </c>
      <c r="H40" s="88"/>
      <c r="I40" s="90"/>
      <c r="J40" s="91"/>
    </row>
    <row r="41" spans="2:10" ht="23.4" customHeight="1" x14ac:dyDescent="0.4">
      <c r="B41" s="78" t="s">
        <v>190</v>
      </c>
      <c r="C41" s="97"/>
      <c r="D41" s="78" t="s">
        <v>191</v>
      </c>
      <c r="E41" s="98"/>
      <c r="F41" s="66" t="s">
        <v>304</v>
      </c>
      <c r="G41" s="98" t="s">
        <v>192</v>
      </c>
      <c r="H41" s="98"/>
      <c r="I41" s="102"/>
      <c r="J41" s="104"/>
    </row>
    <row r="42" spans="2:10" s="59" customFormat="1" ht="23.4" customHeight="1" x14ac:dyDescent="0.4">
      <c r="B42" s="76" t="s">
        <v>193</v>
      </c>
      <c r="C42" s="89"/>
      <c r="D42" s="100" t="s">
        <v>194</v>
      </c>
      <c r="E42" s="100"/>
      <c r="F42" s="94"/>
      <c r="G42" s="76" t="s">
        <v>195</v>
      </c>
      <c r="H42" s="88"/>
      <c r="I42" s="90"/>
      <c r="J42" s="91"/>
    </row>
    <row r="43" spans="2:10" ht="23.4" customHeight="1" x14ac:dyDescent="0.4">
      <c r="B43" s="78" t="s">
        <v>196</v>
      </c>
      <c r="C43" s="97"/>
      <c r="D43" s="82" t="s">
        <v>197</v>
      </c>
      <c r="E43" s="82"/>
      <c r="F43" s="94"/>
      <c r="G43" s="78" t="s">
        <v>198</v>
      </c>
      <c r="H43" s="98"/>
      <c r="I43" s="102"/>
      <c r="J43" s="104"/>
    </row>
    <row r="44" spans="2:10" s="59" customFormat="1" ht="23.4" customHeight="1" x14ac:dyDescent="0.4">
      <c r="B44" s="76" t="s">
        <v>199</v>
      </c>
      <c r="C44" s="90"/>
      <c r="D44" s="86" t="s">
        <v>200</v>
      </c>
      <c r="E44" s="110"/>
      <c r="F44" s="111"/>
      <c r="G44" s="86" t="s">
        <v>201</v>
      </c>
      <c r="H44" s="110"/>
      <c r="I44" s="112" t="s">
        <v>202</v>
      </c>
      <c r="J44" s="111"/>
    </row>
    <row r="45" spans="2:10" ht="23.4" customHeight="1" x14ac:dyDescent="0.4">
      <c r="B45" s="78" t="s">
        <v>203</v>
      </c>
      <c r="C45" s="70"/>
      <c r="D45" s="113" t="s">
        <v>204</v>
      </c>
      <c r="E45" s="114"/>
      <c r="F45" s="115"/>
      <c r="G45" s="113"/>
      <c r="H45" s="114"/>
      <c r="I45" s="109"/>
      <c r="J45" s="116"/>
    </row>
    <row r="46" spans="2:10" s="59" customFormat="1" ht="23.4" customHeight="1" x14ac:dyDescent="0.4">
      <c r="B46" s="76" t="s">
        <v>205</v>
      </c>
      <c r="C46" s="89"/>
      <c r="D46" s="99" t="s">
        <v>206</v>
      </c>
      <c r="E46" s="100"/>
      <c r="F46" s="94"/>
      <c r="G46" s="76" t="s">
        <v>207</v>
      </c>
      <c r="H46" s="88"/>
      <c r="I46" s="117"/>
      <c r="J46" s="91"/>
    </row>
    <row r="47" spans="2:10" ht="23.4" customHeight="1" x14ac:dyDescent="0.3">
      <c r="B47" s="78" t="s">
        <v>208</v>
      </c>
      <c r="C47" s="65"/>
      <c r="D47" s="78" t="s">
        <v>209</v>
      </c>
      <c r="E47" s="98"/>
      <c r="F47" s="67" t="s">
        <v>316</v>
      </c>
      <c r="G47" s="78"/>
      <c r="H47" s="98"/>
      <c r="I47" s="73"/>
      <c r="J47" s="68" t="s">
        <v>327</v>
      </c>
    </row>
    <row r="48" spans="2:10" s="59" customFormat="1" ht="23.4" customHeight="1" x14ac:dyDescent="0.4">
      <c r="B48" s="76" t="s">
        <v>210</v>
      </c>
      <c r="C48" s="89"/>
      <c r="D48" s="99" t="s">
        <v>211</v>
      </c>
      <c r="E48" s="100"/>
      <c r="F48" s="94"/>
      <c r="G48" s="76" t="s">
        <v>212</v>
      </c>
      <c r="H48" s="118"/>
      <c r="I48" s="119"/>
      <c r="J48" s="96" t="s">
        <v>1</v>
      </c>
    </row>
    <row r="49" spans="1:13" ht="23.4" customHeight="1" x14ac:dyDescent="0.4">
      <c r="B49" s="78" t="s">
        <v>213</v>
      </c>
      <c r="C49" s="65" t="s">
        <v>317</v>
      </c>
      <c r="D49" s="78" t="s">
        <v>214</v>
      </c>
      <c r="E49" s="98"/>
      <c r="F49" s="97"/>
      <c r="G49" s="78"/>
      <c r="H49" s="120"/>
      <c r="I49" s="73"/>
      <c r="J49" s="68" t="s">
        <v>327</v>
      </c>
    </row>
    <row r="50" spans="1:13" s="59" customFormat="1" ht="23.4" customHeight="1" x14ac:dyDescent="0.4">
      <c r="B50" s="99" t="s">
        <v>215</v>
      </c>
      <c r="C50" s="95"/>
      <c r="D50" s="76" t="s">
        <v>216</v>
      </c>
      <c r="E50" s="88"/>
      <c r="F50" s="89"/>
      <c r="G50" s="76" t="s">
        <v>217</v>
      </c>
      <c r="H50" s="118"/>
      <c r="I50" s="121"/>
      <c r="J50" s="91" t="s">
        <v>1</v>
      </c>
    </row>
    <row r="51" spans="1:13" ht="23.4" customHeight="1" x14ac:dyDescent="0.4">
      <c r="B51" s="80" t="s">
        <v>218</v>
      </c>
      <c r="C51" s="95"/>
      <c r="D51" s="78" t="s">
        <v>219</v>
      </c>
      <c r="E51" s="98"/>
      <c r="F51" s="97"/>
      <c r="G51" s="78"/>
      <c r="H51" s="120"/>
      <c r="I51" s="73"/>
      <c r="J51" s="68" t="s">
        <v>328</v>
      </c>
    </row>
    <row r="52" spans="1:13" s="59" customFormat="1" ht="23.4" customHeight="1" x14ac:dyDescent="0.4">
      <c r="B52" s="76" t="s">
        <v>220</v>
      </c>
      <c r="C52" s="90"/>
      <c r="D52" s="76" t="s">
        <v>221</v>
      </c>
      <c r="E52" s="88"/>
      <c r="F52" s="89"/>
      <c r="G52" s="76" t="s">
        <v>222</v>
      </c>
      <c r="H52" s="118"/>
      <c r="I52" s="121"/>
      <c r="J52" s="91" t="s">
        <v>1</v>
      </c>
    </row>
    <row r="53" spans="1:13" ht="23.4" customHeight="1" x14ac:dyDescent="0.4">
      <c r="B53" s="78" t="s">
        <v>223</v>
      </c>
      <c r="C53" s="102"/>
      <c r="D53" s="78" t="s">
        <v>224</v>
      </c>
      <c r="E53" s="98"/>
      <c r="F53" s="65" t="s">
        <v>308</v>
      </c>
      <c r="G53" s="80"/>
      <c r="H53" s="122"/>
      <c r="I53" s="73"/>
      <c r="J53" s="71" t="s">
        <v>1</v>
      </c>
    </row>
    <row r="54" spans="1:13" s="59" customFormat="1" ht="23.4" customHeight="1" x14ac:dyDescent="0.4">
      <c r="B54" s="99" t="s">
        <v>225</v>
      </c>
      <c r="C54" s="95"/>
      <c r="D54" s="99" t="s">
        <v>226</v>
      </c>
      <c r="E54" s="100"/>
      <c r="F54" s="95"/>
      <c r="G54" s="86" t="s">
        <v>227</v>
      </c>
      <c r="H54" s="110"/>
      <c r="I54" s="112"/>
      <c r="J54" s="111"/>
    </row>
    <row r="55" spans="1:13" ht="23.4" customHeight="1" x14ac:dyDescent="0.4">
      <c r="B55" s="80" t="s">
        <v>228</v>
      </c>
      <c r="C55" s="95"/>
      <c r="D55" s="80" t="s">
        <v>229</v>
      </c>
      <c r="E55" s="82"/>
      <c r="F55" s="95"/>
      <c r="G55" s="113" t="s">
        <v>230</v>
      </c>
      <c r="H55" s="114"/>
      <c r="I55" s="123"/>
      <c r="J55" s="115"/>
    </row>
    <row r="56" spans="1:13" s="59" customFormat="1" ht="23.4" customHeight="1" x14ac:dyDescent="0.4">
      <c r="B56" s="86" t="s">
        <v>231</v>
      </c>
      <c r="C56" s="124"/>
      <c r="D56" s="76" t="s">
        <v>232</v>
      </c>
      <c r="E56" s="88"/>
      <c r="F56" s="89"/>
      <c r="G56" s="307" t="s">
        <v>233</v>
      </c>
      <c r="H56" s="308"/>
      <c r="I56" s="309" t="s">
        <v>336</v>
      </c>
      <c r="J56" s="238" t="s">
        <v>1</v>
      </c>
    </row>
    <row r="57" spans="1:13" ht="23.4" customHeight="1" x14ac:dyDescent="0.4">
      <c r="B57" s="113" t="s">
        <v>234</v>
      </c>
      <c r="C57" s="125"/>
      <c r="D57" s="78" t="s">
        <v>235</v>
      </c>
      <c r="E57" s="98"/>
      <c r="F57" s="97"/>
      <c r="G57" s="236" t="s">
        <v>236</v>
      </c>
      <c r="H57" s="237"/>
      <c r="I57" s="310"/>
      <c r="J57" s="235"/>
    </row>
    <row r="58" spans="1:13" s="59" customFormat="1" ht="23.4" customHeight="1" x14ac:dyDescent="0.4">
      <c r="B58" s="99" t="s">
        <v>237</v>
      </c>
      <c r="C58" s="95"/>
      <c r="D58" s="76" t="s">
        <v>238</v>
      </c>
      <c r="E58" s="88"/>
      <c r="F58" s="89"/>
      <c r="G58" s="230" t="s">
        <v>239</v>
      </c>
      <c r="H58" s="231"/>
      <c r="I58" s="232">
        <v>11.775</v>
      </c>
      <c r="J58" s="234" t="s">
        <v>1</v>
      </c>
    </row>
    <row r="59" spans="1:13" ht="23.4" customHeight="1" x14ac:dyDescent="0.4">
      <c r="B59" s="80" t="s">
        <v>240</v>
      </c>
      <c r="C59" s="95"/>
      <c r="D59" s="78" t="s">
        <v>241</v>
      </c>
      <c r="E59" s="98"/>
      <c r="F59" s="69"/>
      <c r="G59" s="236" t="s">
        <v>242</v>
      </c>
      <c r="H59" s="237"/>
      <c r="I59" s="233"/>
      <c r="J59" s="235"/>
    </row>
    <row r="60" spans="1:13" s="59" customFormat="1" ht="23.4" customHeight="1" x14ac:dyDescent="0.4">
      <c r="B60" s="76" t="s">
        <v>243</v>
      </c>
      <c r="C60" s="89"/>
      <c r="D60" s="105" t="s">
        <v>244</v>
      </c>
      <c r="E60" s="106"/>
      <c r="F60" s="107"/>
      <c r="G60" s="230" t="s">
        <v>245</v>
      </c>
      <c r="H60" s="231"/>
      <c r="I60" s="232">
        <v>8.0419999999999998</v>
      </c>
      <c r="J60" s="234" t="s">
        <v>1</v>
      </c>
      <c r="M60" s="61"/>
    </row>
    <row r="61" spans="1:13" ht="23.4" customHeight="1" x14ac:dyDescent="0.4">
      <c r="B61" s="78" t="s">
        <v>246</v>
      </c>
      <c r="C61" s="97"/>
      <c r="D61" s="113" t="s">
        <v>247</v>
      </c>
      <c r="E61" s="123"/>
      <c r="F61" s="125"/>
      <c r="G61" s="236" t="s">
        <v>248</v>
      </c>
      <c r="H61" s="237"/>
      <c r="I61" s="233"/>
      <c r="J61" s="235"/>
    </row>
    <row r="62" spans="1:13" s="59" customFormat="1" ht="23.4" customHeight="1" x14ac:dyDescent="0.4">
      <c r="B62" s="99" t="s">
        <v>249</v>
      </c>
      <c r="C62" s="95"/>
      <c r="D62" s="76" t="s">
        <v>250</v>
      </c>
      <c r="E62" s="88"/>
      <c r="F62" s="89"/>
      <c r="G62" s="311" t="s">
        <v>251</v>
      </c>
      <c r="H62" s="231"/>
      <c r="I62" s="232">
        <v>3.59</v>
      </c>
      <c r="J62" s="288" t="s">
        <v>1</v>
      </c>
    </row>
    <row r="63" spans="1:13" ht="23.4" customHeight="1" x14ac:dyDescent="0.4">
      <c r="B63" s="80" t="s">
        <v>252</v>
      </c>
      <c r="C63" s="97"/>
      <c r="D63" s="78" t="s">
        <v>253</v>
      </c>
      <c r="E63" s="98"/>
      <c r="F63" s="65"/>
      <c r="G63" s="284" t="s">
        <v>254</v>
      </c>
      <c r="H63" s="237"/>
      <c r="I63" s="233"/>
      <c r="J63" s="289"/>
    </row>
    <row r="64" spans="1:13" ht="23.4" customHeight="1" x14ac:dyDescent="0.4">
      <c r="A64" s="59"/>
      <c r="B64" s="76" t="s">
        <v>255</v>
      </c>
      <c r="C64" s="95"/>
      <c r="D64" s="76" t="s">
        <v>256</v>
      </c>
      <c r="E64" s="126"/>
      <c r="F64" s="89"/>
      <c r="G64" s="230" t="s">
        <v>257</v>
      </c>
      <c r="H64" s="231"/>
      <c r="I64" s="232">
        <v>0.18</v>
      </c>
      <c r="J64" s="305" t="s">
        <v>1</v>
      </c>
      <c r="K64" s="59"/>
    </row>
    <row r="65" spans="1:11" ht="23.4" customHeight="1" x14ac:dyDescent="0.4">
      <c r="B65" s="80" t="s">
        <v>258</v>
      </c>
      <c r="C65" s="94"/>
      <c r="D65" s="78" t="s">
        <v>259</v>
      </c>
      <c r="E65" s="98"/>
      <c r="F65" s="120"/>
      <c r="G65" s="236" t="s">
        <v>260</v>
      </c>
      <c r="H65" s="237"/>
      <c r="I65" s="233"/>
      <c r="J65" s="306"/>
    </row>
    <row r="66" spans="1:11" ht="23.4" customHeight="1" x14ac:dyDescent="0.4">
      <c r="B66" s="76" t="s">
        <v>261</v>
      </c>
      <c r="C66" s="89"/>
      <c r="D66" s="76" t="s">
        <v>262</v>
      </c>
      <c r="E66" s="126"/>
      <c r="F66" s="89"/>
      <c r="G66" s="311" t="s">
        <v>263</v>
      </c>
      <c r="H66" s="231"/>
      <c r="I66" s="258" t="s">
        <v>328</v>
      </c>
      <c r="J66" s="305" t="s">
        <v>1</v>
      </c>
    </row>
    <row r="67" spans="1:11" ht="23.4" customHeight="1" x14ac:dyDescent="0.4">
      <c r="B67" s="78" t="s">
        <v>264</v>
      </c>
      <c r="C67" s="97"/>
      <c r="D67" s="78" t="s">
        <v>265</v>
      </c>
      <c r="E67" s="98"/>
      <c r="F67" s="65"/>
      <c r="G67" s="284" t="s">
        <v>266</v>
      </c>
      <c r="H67" s="237"/>
      <c r="I67" s="259"/>
      <c r="J67" s="306"/>
    </row>
    <row r="68" spans="1:11" ht="5.25" customHeight="1" x14ac:dyDescent="0.3">
      <c r="B68" s="285"/>
      <c r="C68" s="286"/>
      <c r="D68" s="286"/>
      <c r="E68" s="286"/>
      <c r="F68" s="286"/>
      <c r="G68" s="286"/>
      <c r="H68" s="286"/>
      <c r="I68" s="286"/>
      <c r="J68" s="287"/>
    </row>
    <row r="69" spans="1:11" ht="21" customHeight="1" x14ac:dyDescent="0.3">
      <c r="B69" s="290" t="s">
        <v>267</v>
      </c>
      <c r="C69" s="127" t="s">
        <v>268</v>
      </c>
      <c r="D69" s="248" t="s">
        <v>309</v>
      </c>
      <c r="E69" s="249"/>
      <c r="F69" s="62" t="s">
        <v>269</v>
      </c>
      <c r="G69" s="128" t="s">
        <v>270</v>
      </c>
      <c r="H69" s="280">
        <v>21</v>
      </c>
      <c r="I69" s="128" t="s">
        <v>271</v>
      </c>
      <c r="J69" s="280">
        <v>21</v>
      </c>
    </row>
    <row r="70" spans="1:11" ht="21.6" customHeight="1" x14ac:dyDescent="0.3">
      <c r="B70" s="291"/>
      <c r="C70" s="129" t="s">
        <v>272</v>
      </c>
      <c r="D70" s="250"/>
      <c r="E70" s="251"/>
      <c r="F70" s="63" t="s">
        <v>273</v>
      </c>
      <c r="G70" s="130" t="s">
        <v>274</v>
      </c>
      <c r="H70" s="281"/>
      <c r="I70" s="130" t="s">
        <v>275</v>
      </c>
      <c r="J70" s="281"/>
    </row>
    <row r="71" spans="1:11" ht="21" x14ac:dyDescent="0.3">
      <c r="B71" s="292"/>
      <c r="C71" s="131" t="s">
        <v>276</v>
      </c>
      <c r="D71" s="132" t="s">
        <v>277</v>
      </c>
      <c r="E71" s="127" t="s">
        <v>278</v>
      </c>
      <c r="F71" s="62" t="s">
        <v>279</v>
      </c>
      <c r="G71" s="128" t="s">
        <v>270</v>
      </c>
      <c r="H71" s="282">
        <v>1009</v>
      </c>
      <c r="I71" s="128" t="s">
        <v>271</v>
      </c>
      <c r="J71" s="282">
        <v>1009</v>
      </c>
    </row>
    <row r="72" spans="1:11" ht="42" customHeight="1" x14ac:dyDescent="0.3">
      <c r="B72" s="293"/>
      <c r="C72" s="74">
        <v>0.64583333333333337</v>
      </c>
      <c r="D72" s="74">
        <v>0.6875</v>
      </c>
      <c r="E72" s="133" t="s">
        <v>280</v>
      </c>
      <c r="F72" s="63" t="s">
        <v>281</v>
      </c>
      <c r="G72" s="134" t="s">
        <v>274</v>
      </c>
      <c r="H72" s="283"/>
      <c r="I72" s="134" t="s">
        <v>275</v>
      </c>
      <c r="J72" s="283"/>
    </row>
    <row r="73" spans="1:11" ht="21.6" customHeight="1" x14ac:dyDescent="0.3">
      <c r="B73" s="135" t="s">
        <v>282</v>
      </c>
      <c r="C73" s="244">
        <v>224</v>
      </c>
      <c r="D73" s="244">
        <v>221</v>
      </c>
      <c r="E73" s="246">
        <f>1-(D73/C73)</f>
        <v>1.3392857142857095E-2</v>
      </c>
      <c r="F73" s="277" t="s">
        <v>283</v>
      </c>
      <c r="G73" s="268"/>
      <c r="H73" s="269"/>
      <c r="I73" s="269"/>
      <c r="J73" s="270"/>
    </row>
    <row r="74" spans="1:11" ht="21.6" customHeight="1" x14ac:dyDescent="0.3">
      <c r="B74" s="136" t="s">
        <v>284</v>
      </c>
      <c r="C74" s="245"/>
      <c r="D74" s="245"/>
      <c r="E74" s="247"/>
      <c r="F74" s="278"/>
      <c r="G74" s="271"/>
      <c r="H74" s="272"/>
      <c r="I74" s="272"/>
      <c r="J74" s="273"/>
    </row>
    <row r="75" spans="1:11" ht="21.6" customHeight="1" x14ac:dyDescent="0.3">
      <c r="B75" s="135" t="s">
        <v>285</v>
      </c>
      <c r="C75" s="244">
        <v>212</v>
      </c>
      <c r="D75" s="244">
        <v>209</v>
      </c>
      <c r="E75" s="246">
        <f>1-(D75/C75)</f>
        <v>1.4150943396226467E-2</v>
      </c>
      <c r="F75" s="278"/>
      <c r="G75" s="271"/>
      <c r="H75" s="272"/>
      <c r="I75" s="272"/>
      <c r="J75" s="273"/>
    </row>
    <row r="76" spans="1:11" ht="21.6" customHeight="1" x14ac:dyDescent="0.3">
      <c r="B76" s="136" t="s">
        <v>286</v>
      </c>
      <c r="C76" s="245"/>
      <c r="D76" s="245"/>
      <c r="E76" s="247"/>
      <c r="F76" s="278"/>
      <c r="G76" s="271"/>
      <c r="H76" s="272"/>
      <c r="I76" s="272"/>
      <c r="J76" s="273"/>
    </row>
    <row r="77" spans="1:11" ht="21" customHeight="1" x14ac:dyDescent="0.3">
      <c r="B77" s="135" t="s">
        <v>287</v>
      </c>
      <c r="C77" s="244"/>
      <c r="D77" s="244"/>
      <c r="E77" s="246" t="s">
        <v>311</v>
      </c>
      <c r="F77" s="278"/>
      <c r="G77" s="271"/>
      <c r="H77" s="272"/>
      <c r="I77" s="272"/>
      <c r="J77" s="273"/>
    </row>
    <row r="78" spans="1:11" ht="21" customHeight="1" x14ac:dyDescent="0.3">
      <c r="B78" s="136" t="s">
        <v>288</v>
      </c>
      <c r="C78" s="245"/>
      <c r="D78" s="245"/>
      <c r="E78" s="247"/>
      <c r="F78" s="279"/>
      <c r="G78" s="274"/>
      <c r="H78" s="275"/>
      <c r="I78" s="275"/>
      <c r="J78" s="276"/>
    </row>
    <row r="79" spans="1:11" s="59" customFormat="1" ht="21.6" customHeight="1" x14ac:dyDescent="0.3">
      <c r="A79" s="55"/>
      <c r="B79" s="135" t="s">
        <v>289</v>
      </c>
      <c r="C79" s="244"/>
      <c r="D79" s="244"/>
      <c r="E79" s="246" t="s">
        <v>311</v>
      </c>
      <c r="F79" s="75" t="s">
        <v>290</v>
      </c>
      <c r="G79" s="260" t="s">
        <v>318</v>
      </c>
      <c r="H79" s="261"/>
      <c r="I79" s="261"/>
      <c r="J79" s="262"/>
      <c r="K79" s="55"/>
    </row>
    <row r="80" spans="1:11" ht="21" customHeight="1" x14ac:dyDescent="0.3">
      <c r="B80" s="136" t="s">
        <v>291</v>
      </c>
      <c r="C80" s="245"/>
      <c r="D80" s="245"/>
      <c r="E80" s="247"/>
      <c r="F80" s="72" t="s">
        <v>292</v>
      </c>
      <c r="G80" s="263"/>
      <c r="H80" s="264"/>
      <c r="I80" s="264"/>
      <c r="J80" s="265"/>
    </row>
    <row r="81" spans="1:11" ht="30" customHeight="1" x14ac:dyDescent="0.3">
      <c r="A81" s="59"/>
      <c r="B81" s="137" t="s">
        <v>293</v>
      </c>
      <c r="C81" s="252" t="s">
        <v>322</v>
      </c>
      <c r="D81" s="253"/>
      <c r="E81" s="138" t="s">
        <v>294</v>
      </c>
      <c r="F81" s="256" t="s">
        <v>337</v>
      </c>
      <c r="G81" s="138" t="s">
        <v>295</v>
      </c>
      <c r="H81" s="252" t="s">
        <v>306</v>
      </c>
      <c r="I81" s="266"/>
      <c r="J81" s="253"/>
      <c r="K81" s="59"/>
    </row>
    <row r="82" spans="1:11" ht="28.2" customHeight="1" x14ac:dyDescent="0.3">
      <c r="B82" s="139" t="s">
        <v>296</v>
      </c>
      <c r="C82" s="254"/>
      <c r="D82" s="255"/>
      <c r="E82" s="140" t="s">
        <v>297</v>
      </c>
      <c r="F82" s="257"/>
      <c r="G82" s="140" t="s">
        <v>0</v>
      </c>
      <c r="H82" s="254"/>
      <c r="I82" s="267"/>
      <c r="J82" s="255"/>
    </row>
    <row r="83" spans="1:11" x14ac:dyDescent="0.3">
      <c r="F83" s="60"/>
    </row>
    <row r="84" spans="1:11" x14ac:dyDescent="0.3">
      <c r="F84" s="60" t="s">
        <v>298</v>
      </c>
    </row>
  </sheetData>
  <mergeCells count="58">
    <mergeCell ref="B69:B72"/>
    <mergeCell ref="D3:G3"/>
    <mergeCell ref="H3:H4"/>
    <mergeCell ref="I3:J4"/>
    <mergeCell ref="D4:G4"/>
    <mergeCell ref="H5:H6"/>
    <mergeCell ref="I5:J6"/>
    <mergeCell ref="J64:J65"/>
    <mergeCell ref="G64:H64"/>
    <mergeCell ref="G56:H56"/>
    <mergeCell ref="J66:J67"/>
    <mergeCell ref="I56:I57"/>
    <mergeCell ref="I64:I65"/>
    <mergeCell ref="G62:H62"/>
    <mergeCell ref="G63:H63"/>
    <mergeCell ref="G66:H66"/>
    <mergeCell ref="F81:F82"/>
    <mergeCell ref="I66:I67"/>
    <mergeCell ref="G57:H57"/>
    <mergeCell ref="G79:J80"/>
    <mergeCell ref="H81:J82"/>
    <mergeCell ref="G73:J78"/>
    <mergeCell ref="F73:F78"/>
    <mergeCell ref="J69:J70"/>
    <mergeCell ref="J71:J72"/>
    <mergeCell ref="I62:I63"/>
    <mergeCell ref="H69:H70"/>
    <mergeCell ref="H71:H72"/>
    <mergeCell ref="G65:H65"/>
    <mergeCell ref="G67:H67"/>
    <mergeCell ref="B68:J68"/>
    <mergeCell ref="J62:J63"/>
    <mergeCell ref="C81:D82"/>
    <mergeCell ref="D77:D78"/>
    <mergeCell ref="E77:E78"/>
    <mergeCell ref="C79:C80"/>
    <mergeCell ref="D79:D80"/>
    <mergeCell ref="E79:E80"/>
    <mergeCell ref="C77:C78"/>
    <mergeCell ref="C7:C8"/>
    <mergeCell ref="E7:F8"/>
    <mergeCell ref="C73:C74"/>
    <mergeCell ref="E73:E74"/>
    <mergeCell ref="C75:C76"/>
    <mergeCell ref="D75:D76"/>
    <mergeCell ref="E75:E76"/>
    <mergeCell ref="D73:D74"/>
    <mergeCell ref="D69:E70"/>
    <mergeCell ref="H7:J8"/>
    <mergeCell ref="G60:H60"/>
    <mergeCell ref="I60:I61"/>
    <mergeCell ref="J60:J61"/>
    <mergeCell ref="G61:H61"/>
    <mergeCell ref="G58:H58"/>
    <mergeCell ref="I58:I59"/>
    <mergeCell ref="J58:J59"/>
    <mergeCell ref="G59:H59"/>
    <mergeCell ref="J56:J57"/>
  </mergeCells>
  <conditionalFormatting sqref="E73:E80">
    <cfRule type="containsBlanks" dxfId="3" priority="1" stopIfTrue="1">
      <formula>LEN(TRIM(E73))=0</formula>
    </cfRule>
    <cfRule type="cellIs" dxfId="2" priority="2" stopIfTrue="1" operator="lessThan">
      <formula>4.99%</formula>
    </cfRule>
    <cfRule type="cellIs" dxfId="1" priority="3" stopIfTrue="1" operator="equal">
      <formula>5%</formula>
    </cfRule>
    <cfRule type="cellIs" dxfId="0" priority="4" stopIfTrue="1" operator="greaterThan">
      <formula>5.01%</formula>
    </cfRule>
  </conditionalFormatting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15" name="Check Box 220">
              <controlPr defaultSize="0" autoFill="0" autoLine="0" autoPict="0">
                <anchor moveWithCells="1">
                  <from>
                    <xdr:col>2</xdr:col>
                    <xdr:colOff>975360</xdr:colOff>
                    <xdr:row>9</xdr:row>
                    <xdr:rowOff>30480</xdr:rowOff>
                  </from>
                  <to>
                    <xdr:col>3</xdr:col>
                    <xdr:colOff>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16" name="Check Box 221">
              <controlPr defaultSize="0" autoFill="0" autoLine="0" autoPict="0">
                <anchor moveWithCells="1">
                  <from>
                    <xdr:col>2</xdr:col>
                    <xdr:colOff>975360</xdr:colOff>
                    <xdr:row>11</xdr:row>
                    <xdr:rowOff>30480</xdr:rowOff>
                  </from>
                  <to>
                    <xdr:col>3</xdr:col>
                    <xdr:colOff>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117" name="Check Box 222">
              <controlPr defaultSize="0" autoFill="0" autoLine="0" autoPict="0">
                <anchor moveWithCells="1">
                  <from>
                    <xdr:col>2</xdr:col>
                    <xdr:colOff>975360</xdr:colOff>
                    <xdr:row>13</xdr:row>
                    <xdr:rowOff>30480</xdr:rowOff>
                  </from>
                  <to>
                    <xdr:col>3</xdr:col>
                    <xdr:colOff>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118" name="Check Box 223">
              <controlPr defaultSize="0" autoFill="0" autoLine="0" autoPict="0">
                <anchor moveWithCells="1">
                  <from>
                    <xdr:col>2</xdr:col>
                    <xdr:colOff>975360</xdr:colOff>
                    <xdr:row>15</xdr:row>
                    <xdr:rowOff>30480</xdr:rowOff>
                  </from>
                  <to>
                    <xdr:col>3</xdr:col>
                    <xdr:colOff>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119" name="Check Box 224">
              <controlPr defaultSize="0" autoFill="0" autoLine="0" autoPict="0">
                <anchor moveWithCells="1">
                  <from>
                    <xdr:col>2</xdr:col>
                    <xdr:colOff>975360</xdr:colOff>
                    <xdr:row>17</xdr:row>
                    <xdr:rowOff>30480</xdr:rowOff>
                  </from>
                  <to>
                    <xdr:col>3</xdr:col>
                    <xdr:colOff>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120" name="Check Box 225">
              <controlPr defaultSize="0" autoFill="0" autoLine="0" autoPict="0">
                <anchor moveWithCells="1">
                  <from>
                    <xdr:col>2</xdr:col>
                    <xdr:colOff>975360</xdr:colOff>
                    <xdr:row>19</xdr:row>
                    <xdr:rowOff>30480</xdr:rowOff>
                  </from>
                  <to>
                    <xdr:col>3</xdr:col>
                    <xdr:colOff>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121" name="Check Box 226">
              <controlPr defaultSize="0" autoFill="0" autoLine="0" autoPict="0">
                <anchor moveWithCells="1">
                  <from>
                    <xdr:col>2</xdr:col>
                    <xdr:colOff>975360</xdr:colOff>
                    <xdr:row>21</xdr:row>
                    <xdr:rowOff>30480</xdr:rowOff>
                  </from>
                  <to>
                    <xdr:col>3</xdr:col>
                    <xdr:colOff>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122" name="Check Box 227">
              <controlPr defaultSize="0" autoFill="0" autoLine="0" autoPict="0">
                <anchor moveWithCells="1">
                  <from>
                    <xdr:col>2</xdr:col>
                    <xdr:colOff>975360</xdr:colOff>
                    <xdr:row>23</xdr:row>
                    <xdr:rowOff>30480</xdr:rowOff>
                  </from>
                  <to>
                    <xdr:col>3</xdr:col>
                    <xdr:colOff>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123" name="Check Box 228">
              <controlPr defaultSize="0" autoFill="0" autoLine="0" autoPict="0">
                <anchor moveWithCells="1">
                  <from>
                    <xdr:col>2</xdr:col>
                    <xdr:colOff>975360</xdr:colOff>
                    <xdr:row>25</xdr:row>
                    <xdr:rowOff>30480</xdr:rowOff>
                  </from>
                  <to>
                    <xdr:col>3</xdr:col>
                    <xdr:colOff>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124" name="Check Box 229">
              <controlPr defaultSize="0" autoFill="0" autoLine="0" autoPict="0">
                <anchor moveWithCells="1">
                  <from>
                    <xdr:col>2</xdr:col>
                    <xdr:colOff>975360</xdr:colOff>
                    <xdr:row>25</xdr:row>
                    <xdr:rowOff>30480</xdr:rowOff>
                  </from>
                  <to>
                    <xdr:col>3</xdr:col>
                    <xdr:colOff>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25" name="Check Box 230">
              <controlPr defaultSize="0" autoFill="0" autoLine="0" autoPict="0">
                <anchor moveWithCells="1">
                  <from>
                    <xdr:col>2</xdr:col>
                    <xdr:colOff>975360</xdr:colOff>
                    <xdr:row>27</xdr:row>
                    <xdr:rowOff>30480</xdr:rowOff>
                  </from>
                  <to>
                    <xdr:col>3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26" name="Check Box 231">
              <controlPr defaultSize="0" autoFill="0" autoLine="0" autoPict="0">
                <anchor moveWithCells="1">
                  <from>
                    <xdr:col>2</xdr:col>
                    <xdr:colOff>975360</xdr:colOff>
                    <xdr:row>29</xdr:row>
                    <xdr:rowOff>30480</xdr:rowOff>
                  </from>
                  <to>
                    <xdr:col>3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127" name="Check Box 232">
              <controlPr defaultSize="0" autoFill="0" autoLine="0" autoPict="0">
                <anchor moveWithCells="1">
                  <from>
                    <xdr:col>2</xdr:col>
                    <xdr:colOff>975360</xdr:colOff>
                    <xdr:row>31</xdr:row>
                    <xdr:rowOff>30480</xdr:rowOff>
                  </from>
                  <to>
                    <xdr:col>3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128" name="Check Box 233">
              <controlPr defaultSize="0" autoFill="0" autoLine="0" autoPict="0">
                <anchor moveWithCells="1">
                  <from>
                    <xdr:col>2</xdr:col>
                    <xdr:colOff>975360</xdr:colOff>
                    <xdr:row>33</xdr:row>
                    <xdr:rowOff>30480</xdr:rowOff>
                  </from>
                  <to>
                    <xdr:col>3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129" name="Check Box 234">
              <controlPr defaultSize="0" autoFill="0" autoLine="0" autoPict="0">
                <anchor moveWithCells="1">
                  <from>
                    <xdr:col>2</xdr:col>
                    <xdr:colOff>975360</xdr:colOff>
                    <xdr:row>35</xdr:row>
                    <xdr:rowOff>30480</xdr:rowOff>
                  </from>
                  <to>
                    <xdr:col>3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130" name="Check Box 235">
              <controlPr defaultSize="0" autoFill="0" autoLine="0" autoPict="0">
                <anchor moveWithCells="1">
                  <from>
                    <xdr:col>2</xdr:col>
                    <xdr:colOff>975360</xdr:colOff>
                    <xdr:row>37</xdr:row>
                    <xdr:rowOff>30480</xdr:rowOff>
                  </from>
                  <to>
                    <xdr:col>3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131" name="Check Box 236">
              <controlPr defaultSize="0" autoFill="0" autoLine="0" autoPict="0">
                <anchor moveWithCells="1">
                  <from>
                    <xdr:col>2</xdr:col>
                    <xdr:colOff>975360</xdr:colOff>
                    <xdr:row>39</xdr:row>
                    <xdr:rowOff>30480</xdr:rowOff>
                  </from>
                  <to>
                    <xdr:col>3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132" name="Check Box 237">
              <controlPr defaultSize="0" autoFill="0" autoLine="0" autoPict="0">
                <anchor moveWithCells="1">
                  <from>
                    <xdr:col>2</xdr:col>
                    <xdr:colOff>975360</xdr:colOff>
                    <xdr:row>39</xdr:row>
                    <xdr:rowOff>30480</xdr:rowOff>
                  </from>
                  <to>
                    <xdr:col>3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133" name="Check Box 238">
              <controlPr defaultSize="0" autoFill="0" autoLine="0" autoPict="0">
                <anchor moveWithCells="1">
                  <from>
                    <xdr:col>2</xdr:col>
                    <xdr:colOff>975360</xdr:colOff>
                    <xdr:row>39</xdr:row>
                    <xdr:rowOff>30480</xdr:rowOff>
                  </from>
                  <to>
                    <xdr:col>3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134" name="Check Box 239">
              <controlPr defaultSize="0" autoFill="0" autoLine="0" autoPict="0">
                <anchor moveWithCells="1">
                  <from>
                    <xdr:col>2</xdr:col>
                    <xdr:colOff>975360</xdr:colOff>
                    <xdr:row>41</xdr:row>
                    <xdr:rowOff>30480</xdr:rowOff>
                  </from>
                  <to>
                    <xdr:col>3</xdr:col>
                    <xdr:colOff>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135" name="Check Box 240">
              <controlPr defaultSize="0" autoFill="0" autoLine="0" autoPict="0">
                <anchor moveWithCells="1">
                  <from>
                    <xdr:col>2</xdr:col>
                    <xdr:colOff>975360</xdr:colOff>
                    <xdr:row>43</xdr:row>
                    <xdr:rowOff>30480</xdr:rowOff>
                  </from>
                  <to>
                    <xdr:col>3</xdr:col>
                    <xdr:colOff>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136" name="Check Box 241">
              <controlPr defaultSize="0" autoFill="0" autoLine="0" autoPict="0">
                <anchor moveWithCells="1">
                  <from>
                    <xdr:col>2</xdr:col>
                    <xdr:colOff>975360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137" name="Check Box 242">
              <controlPr defaultSize="0" autoFill="0" autoLine="0" autoPict="0">
                <anchor moveWithCells="1">
                  <from>
                    <xdr:col>2</xdr:col>
                    <xdr:colOff>975360</xdr:colOff>
                    <xdr:row>49</xdr:row>
                    <xdr:rowOff>30480</xdr:rowOff>
                  </from>
                  <to>
                    <xdr:col>3</xdr:col>
                    <xdr:colOff>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138" name="Check Box 243">
              <controlPr defaultSize="0" autoFill="0" autoLine="0" autoPict="0">
                <anchor moveWithCells="1">
                  <from>
                    <xdr:col>2</xdr:col>
                    <xdr:colOff>975360</xdr:colOff>
                    <xdr:row>51</xdr:row>
                    <xdr:rowOff>30480</xdr:rowOff>
                  </from>
                  <to>
                    <xdr:col>3</xdr:col>
                    <xdr:colOff>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139" name="Check Box 244">
              <controlPr defaultSize="0" autoFill="0" autoLine="0" autoPict="0">
                <anchor moveWithCells="1">
                  <from>
                    <xdr:col>2</xdr:col>
                    <xdr:colOff>975360</xdr:colOff>
                    <xdr:row>53</xdr:row>
                    <xdr:rowOff>30480</xdr:rowOff>
                  </from>
                  <to>
                    <xdr:col>3</xdr:col>
                    <xdr:colOff>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140" name="Check Box 245">
              <controlPr defaultSize="0" autoFill="0" autoLine="0" autoPict="0">
                <anchor moveWithCells="1">
                  <from>
                    <xdr:col>2</xdr:col>
                    <xdr:colOff>975360</xdr:colOff>
                    <xdr:row>55</xdr:row>
                    <xdr:rowOff>0</xdr:rowOff>
                  </from>
                  <to>
                    <xdr:col>3</xdr:col>
                    <xdr:colOff>0</xdr:colOff>
                    <xdr:row>55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41" name="Check Box 246">
              <controlPr defaultSize="0" autoFill="0" autoLine="0" autoPict="0">
                <anchor moveWithCells="1">
                  <from>
                    <xdr:col>2</xdr:col>
                    <xdr:colOff>975360</xdr:colOff>
                    <xdr:row>57</xdr:row>
                    <xdr:rowOff>30480</xdr:rowOff>
                  </from>
                  <to>
                    <xdr:col>3</xdr:col>
                    <xdr:colOff>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142" name="Check Box 247">
              <controlPr defaultSize="0" autoFill="0" autoLine="0" autoPict="0">
                <anchor moveWithCells="1">
                  <from>
                    <xdr:col>2</xdr:col>
                    <xdr:colOff>975360</xdr:colOff>
                    <xdr:row>59</xdr:row>
                    <xdr:rowOff>30480</xdr:rowOff>
                  </from>
                  <to>
                    <xdr:col>3</xdr:col>
                    <xdr:colOff>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143" name="Check Box 248">
              <controlPr defaultSize="0" autoFill="0" autoLine="0" autoPict="0">
                <anchor moveWithCells="1">
                  <from>
                    <xdr:col>2</xdr:col>
                    <xdr:colOff>975360</xdr:colOff>
                    <xdr:row>59</xdr:row>
                    <xdr:rowOff>30480</xdr:rowOff>
                  </from>
                  <to>
                    <xdr:col>3</xdr:col>
                    <xdr:colOff>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44" name="Check Box 249">
              <controlPr defaultSize="0" autoFill="0" autoLine="0" autoPict="0">
                <anchor moveWithCells="1">
                  <from>
                    <xdr:col>5</xdr:col>
                    <xdr:colOff>975360</xdr:colOff>
                    <xdr:row>9</xdr:row>
                    <xdr:rowOff>30480</xdr:rowOff>
                  </from>
                  <to>
                    <xdr:col>5</xdr:col>
                    <xdr:colOff>2095500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45" name="Check Box 250">
              <controlPr defaultSize="0" autoFill="0" autoLine="0" autoPict="0">
                <anchor moveWithCells="1">
                  <from>
                    <xdr:col>5</xdr:col>
                    <xdr:colOff>975360</xdr:colOff>
                    <xdr:row>11</xdr:row>
                    <xdr:rowOff>30480</xdr:rowOff>
                  </from>
                  <to>
                    <xdr:col>5</xdr:col>
                    <xdr:colOff>2103120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46" name="Check Box 251">
              <controlPr defaultSize="0" autoFill="0" autoLine="0" autoPict="0">
                <anchor moveWithCells="1">
                  <from>
                    <xdr:col>5</xdr:col>
                    <xdr:colOff>975360</xdr:colOff>
                    <xdr:row>13</xdr:row>
                    <xdr:rowOff>30480</xdr:rowOff>
                  </from>
                  <to>
                    <xdr:col>5</xdr:col>
                    <xdr:colOff>2103120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47" name="Check Box 252">
              <controlPr defaultSize="0" autoFill="0" autoLine="0" autoPict="0">
                <anchor moveWithCells="1">
                  <from>
                    <xdr:col>5</xdr:col>
                    <xdr:colOff>975360</xdr:colOff>
                    <xdr:row>15</xdr:row>
                    <xdr:rowOff>30480</xdr:rowOff>
                  </from>
                  <to>
                    <xdr:col>5</xdr:col>
                    <xdr:colOff>2103120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48" name="Check Box 253">
              <controlPr defaultSize="0" autoFill="0" autoLine="0" autoPict="0">
                <anchor moveWithCells="1">
                  <from>
                    <xdr:col>5</xdr:col>
                    <xdr:colOff>975360</xdr:colOff>
                    <xdr:row>17</xdr:row>
                    <xdr:rowOff>30480</xdr:rowOff>
                  </from>
                  <to>
                    <xdr:col>5</xdr:col>
                    <xdr:colOff>2103120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49" name="Check Box 254">
              <controlPr defaultSize="0" autoFill="0" autoLine="0" autoPict="0">
                <anchor moveWithCells="1">
                  <from>
                    <xdr:col>5</xdr:col>
                    <xdr:colOff>975360</xdr:colOff>
                    <xdr:row>19</xdr:row>
                    <xdr:rowOff>30480</xdr:rowOff>
                  </from>
                  <to>
                    <xdr:col>5</xdr:col>
                    <xdr:colOff>2103120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50" name="Check Box 255">
              <controlPr defaultSize="0" autoFill="0" autoLine="0" autoPict="0">
                <anchor moveWithCells="1">
                  <from>
                    <xdr:col>5</xdr:col>
                    <xdr:colOff>975360</xdr:colOff>
                    <xdr:row>21</xdr:row>
                    <xdr:rowOff>30480</xdr:rowOff>
                  </from>
                  <to>
                    <xdr:col>5</xdr:col>
                    <xdr:colOff>2095500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51" name="Check Box 256">
              <controlPr defaultSize="0" autoFill="0" autoLine="0" autoPict="0">
                <anchor moveWithCells="1">
                  <from>
                    <xdr:col>5</xdr:col>
                    <xdr:colOff>975360</xdr:colOff>
                    <xdr:row>23</xdr:row>
                    <xdr:rowOff>30480</xdr:rowOff>
                  </from>
                  <to>
                    <xdr:col>5</xdr:col>
                    <xdr:colOff>2095500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52" name="Check Box 257">
              <controlPr defaultSize="0" autoFill="0" autoLine="0" autoPict="0">
                <anchor moveWithCells="1">
                  <from>
                    <xdr:col>5</xdr:col>
                    <xdr:colOff>975360</xdr:colOff>
                    <xdr:row>23</xdr:row>
                    <xdr:rowOff>30480</xdr:rowOff>
                  </from>
                  <to>
                    <xdr:col>5</xdr:col>
                    <xdr:colOff>2095500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53" name="Check Box 258">
              <controlPr defaultSize="0" autoFill="0" autoLine="0" autoPict="0">
                <anchor moveWithCells="1">
                  <from>
                    <xdr:col>5</xdr:col>
                    <xdr:colOff>975360</xdr:colOff>
                    <xdr:row>23</xdr:row>
                    <xdr:rowOff>30480</xdr:rowOff>
                  </from>
                  <to>
                    <xdr:col>5</xdr:col>
                    <xdr:colOff>2095500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54" name="Check Box 259">
              <controlPr defaultSize="0" autoFill="0" autoLine="0" autoPict="0">
                <anchor moveWithCells="1">
                  <from>
                    <xdr:col>5</xdr:col>
                    <xdr:colOff>975360</xdr:colOff>
                    <xdr:row>25</xdr:row>
                    <xdr:rowOff>30480</xdr:rowOff>
                  </from>
                  <to>
                    <xdr:col>5</xdr:col>
                    <xdr:colOff>2095500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55" name="Check Box 260">
              <controlPr defaultSize="0" autoFill="0" autoLine="0" autoPict="0">
                <anchor moveWithCells="1">
                  <from>
                    <xdr:col>5</xdr:col>
                    <xdr:colOff>975360</xdr:colOff>
                    <xdr:row>27</xdr:row>
                    <xdr:rowOff>30480</xdr:rowOff>
                  </from>
                  <to>
                    <xdr:col>5</xdr:col>
                    <xdr:colOff>2095500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56" name="Check Box 261">
              <controlPr defaultSize="0" autoFill="0" autoLine="0" autoPict="0">
                <anchor moveWithCells="1">
                  <from>
                    <xdr:col>5</xdr:col>
                    <xdr:colOff>975360</xdr:colOff>
                    <xdr:row>29</xdr:row>
                    <xdr:rowOff>30480</xdr:rowOff>
                  </from>
                  <to>
                    <xdr:col>5</xdr:col>
                    <xdr:colOff>2095500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57" name="Check Box 262">
              <controlPr defaultSize="0" autoFill="0" autoLine="0" autoPict="0">
                <anchor moveWithCells="1">
                  <from>
                    <xdr:col>5</xdr:col>
                    <xdr:colOff>975360</xdr:colOff>
                    <xdr:row>31</xdr:row>
                    <xdr:rowOff>30480</xdr:rowOff>
                  </from>
                  <to>
                    <xdr:col>5</xdr:col>
                    <xdr:colOff>2095500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58" name="Check Box 263">
              <controlPr defaultSize="0" autoFill="0" autoLine="0" autoPict="0">
                <anchor moveWithCells="1">
                  <from>
                    <xdr:col>5</xdr:col>
                    <xdr:colOff>975360</xdr:colOff>
                    <xdr:row>33</xdr:row>
                    <xdr:rowOff>30480</xdr:rowOff>
                  </from>
                  <to>
                    <xdr:col>5</xdr:col>
                    <xdr:colOff>2095500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159" name="Check Box 264">
              <controlPr defaultSize="0" autoFill="0" autoLine="0" autoPict="0">
                <anchor moveWithCells="1">
                  <from>
                    <xdr:col>5</xdr:col>
                    <xdr:colOff>975360</xdr:colOff>
                    <xdr:row>35</xdr:row>
                    <xdr:rowOff>30480</xdr:rowOff>
                  </from>
                  <to>
                    <xdr:col>5</xdr:col>
                    <xdr:colOff>2095500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160" name="Check Box 265">
              <controlPr defaultSize="0" autoFill="0" autoLine="0" autoPict="0">
                <anchor moveWithCells="1">
                  <from>
                    <xdr:col>5</xdr:col>
                    <xdr:colOff>975360</xdr:colOff>
                    <xdr:row>37</xdr:row>
                    <xdr:rowOff>30480</xdr:rowOff>
                  </from>
                  <to>
                    <xdr:col>5</xdr:col>
                    <xdr:colOff>2095500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161" name="Check Box 266">
              <controlPr defaultSize="0" autoFill="0" autoLine="0" autoPict="0">
                <anchor moveWithCells="1">
                  <from>
                    <xdr:col>5</xdr:col>
                    <xdr:colOff>975360</xdr:colOff>
                    <xdr:row>39</xdr:row>
                    <xdr:rowOff>30480</xdr:rowOff>
                  </from>
                  <to>
                    <xdr:col>5</xdr:col>
                    <xdr:colOff>2095500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162" name="Check Box 267">
              <controlPr defaultSize="0" autoFill="0" autoLine="0" autoPict="0">
                <anchor moveWithCells="1">
                  <from>
                    <xdr:col>5</xdr:col>
                    <xdr:colOff>975360</xdr:colOff>
                    <xdr:row>41</xdr:row>
                    <xdr:rowOff>30480</xdr:rowOff>
                  </from>
                  <to>
                    <xdr:col>5</xdr:col>
                    <xdr:colOff>2095500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163" name="Check Box 268">
              <controlPr defaultSize="0" autoFill="0" autoLine="0" autoPict="0">
                <anchor moveWithCells="1">
                  <from>
                    <xdr:col>5</xdr:col>
                    <xdr:colOff>975360</xdr:colOff>
                    <xdr:row>43</xdr:row>
                    <xdr:rowOff>30480</xdr:rowOff>
                  </from>
                  <to>
                    <xdr:col>5</xdr:col>
                    <xdr:colOff>2095500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164" name="Check Box 269">
              <controlPr defaultSize="0" autoFill="0" autoLine="0" autoPict="0">
                <anchor moveWithCells="1">
                  <from>
                    <xdr:col>5</xdr:col>
                    <xdr:colOff>975360</xdr:colOff>
                    <xdr:row>45</xdr:row>
                    <xdr:rowOff>30480</xdr:rowOff>
                  </from>
                  <to>
                    <xdr:col>5</xdr:col>
                    <xdr:colOff>2095500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65" name="Check Box 270">
              <controlPr defaultSize="0" autoFill="0" autoLine="0" autoPict="0">
                <anchor moveWithCells="1">
                  <from>
                    <xdr:col>5</xdr:col>
                    <xdr:colOff>975360</xdr:colOff>
                    <xdr:row>47</xdr:row>
                    <xdr:rowOff>30480</xdr:rowOff>
                  </from>
                  <to>
                    <xdr:col>5</xdr:col>
                    <xdr:colOff>2095500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66" name="Check Box 271">
              <controlPr defaultSize="0" autoFill="0" autoLine="0" autoPict="0">
                <anchor moveWithCells="1">
                  <from>
                    <xdr:col>5</xdr:col>
                    <xdr:colOff>975360</xdr:colOff>
                    <xdr:row>49</xdr:row>
                    <xdr:rowOff>30480</xdr:rowOff>
                  </from>
                  <to>
                    <xdr:col>5</xdr:col>
                    <xdr:colOff>2095500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67" name="Check Box 272">
              <controlPr defaultSize="0" autoFill="0" autoLine="0" autoPict="0">
                <anchor moveWithCells="1">
                  <from>
                    <xdr:col>5</xdr:col>
                    <xdr:colOff>975360</xdr:colOff>
                    <xdr:row>51</xdr:row>
                    <xdr:rowOff>30480</xdr:rowOff>
                  </from>
                  <to>
                    <xdr:col>5</xdr:col>
                    <xdr:colOff>2095500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68" name="Check Box 273">
              <controlPr defaultSize="0" autoFill="0" autoLine="0" autoPict="0">
                <anchor moveWithCells="1">
                  <from>
                    <xdr:col>5</xdr:col>
                    <xdr:colOff>975360</xdr:colOff>
                    <xdr:row>53</xdr:row>
                    <xdr:rowOff>30480</xdr:rowOff>
                  </from>
                  <to>
                    <xdr:col>5</xdr:col>
                    <xdr:colOff>2095500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69" name="Check Box 274">
              <controlPr defaultSize="0" autoFill="0" autoLine="0" autoPict="0">
                <anchor moveWithCells="1">
                  <from>
                    <xdr:col>5</xdr:col>
                    <xdr:colOff>975360</xdr:colOff>
                    <xdr:row>55</xdr:row>
                    <xdr:rowOff>0</xdr:rowOff>
                  </from>
                  <to>
                    <xdr:col>5</xdr:col>
                    <xdr:colOff>2087880</xdr:colOff>
                    <xdr:row>55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70" name="Check Box 275">
              <controlPr defaultSize="0" autoFill="0" autoLine="0" autoPict="0">
                <anchor moveWithCells="1">
                  <from>
                    <xdr:col>5</xdr:col>
                    <xdr:colOff>975360</xdr:colOff>
                    <xdr:row>57</xdr:row>
                    <xdr:rowOff>30480</xdr:rowOff>
                  </from>
                  <to>
                    <xdr:col>5</xdr:col>
                    <xdr:colOff>2095500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71" name="Check Box 276">
              <controlPr defaultSize="0" autoFill="0" autoLine="0" autoPict="0">
                <anchor moveWithCells="1">
                  <from>
                    <xdr:col>5</xdr:col>
                    <xdr:colOff>975360</xdr:colOff>
                    <xdr:row>59</xdr:row>
                    <xdr:rowOff>30480</xdr:rowOff>
                  </from>
                  <to>
                    <xdr:col>5</xdr:col>
                    <xdr:colOff>2095500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72" name="Check Box 277">
              <controlPr defaultSize="0" autoFill="0" autoLine="0" autoPict="0">
                <anchor moveWithCells="1">
                  <from>
                    <xdr:col>8</xdr:col>
                    <xdr:colOff>982980</xdr:colOff>
                    <xdr:row>9</xdr:row>
                    <xdr:rowOff>30480</xdr:rowOff>
                  </from>
                  <to>
                    <xdr:col>9</xdr:col>
                    <xdr:colOff>739140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73" name="Check Box 278">
              <controlPr defaultSize="0" autoFill="0" autoLine="0" autoPict="0">
                <anchor moveWithCells="1">
                  <from>
                    <xdr:col>8</xdr:col>
                    <xdr:colOff>982980</xdr:colOff>
                    <xdr:row>11</xdr:row>
                    <xdr:rowOff>30480</xdr:rowOff>
                  </from>
                  <to>
                    <xdr:col>9</xdr:col>
                    <xdr:colOff>746760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74" name="Check Box 279">
              <controlPr defaultSize="0" autoFill="0" autoLine="0" autoPict="0">
                <anchor moveWithCells="1">
                  <from>
                    <xdr:col>8</xdr:col>
                    <xdr:colOff>982980</xdr:colOff>
                    <xdr:row>13</xdr:row>
                    <xdr:rowOff>30480</xdr:rowOff>
                  </from>
                  <to>
                    <xdr:col>9</xdr:col>
                    <xdr:colOff>746760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75" name="Check Box 280">
              <controlPr defaultSize="0" autoFill="0" autoLine="0" autoPict="0">
                <anchor moveWithCells="1">
                  <from>
                    <xdr:col>8</xdr:col>
                    <xdr:colOff>982980</xdr:colOff>
                    <xdr:row>15</xdr:row>
                    <xdr:rowOff>30480</xdr:rowOff>
                  </from>
                  <to>
                    <xdr:col>9</xdr:col>
                    <xdr:colOff>746760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76" name="Check Box 281">
              <controlPr defaultSize="0" autoFill="0" autoLine="0" autoPict="0">
                <anchor moveWithCells="1">
                  <from>
                    <xdr:col>8</xdr:col>
                    <xdr:colOff>982980</xdr:colOff>
                    <xdr:row>17</xdr:row>
                    <xdr:rowOff>30480</xdr:rowOff>
                  </from>
                  <to>
                    <xdr:col>9</xdr:col>
                    <xdr:colOff>746760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77" name="Check Box 282">
              <controlPr defaultSize="0" autoFill="0" autoLine="0" autoPict="0">
                <anchor moveWithCells="1">
                  <from>
                    <xdr:col>8</xdr:col>
                    <xdr:colOff>982980</xdr:colOff>
                    <xdr:row>19</xdr:row>
                    <xdr:rowOff>30480</xdr:rowOff>
                  </from>
                  <to>
                    <xdr:col>9</xdr:col>
                    <xdr:colOff>746760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78" name="Check Box 283">
              <controlPr defaultSize="0" autoFill="0" autoLine="0" autoPict="0">
                <anchor moveWithCells="1">
                  <from>
                    <xdr:col>8</xdr:col>
                    <xdr:colOff>982980</xdr:colOff>
                    <xdr:row>21</xdr:row>
                    <xdr:rowOff>30480</xdr:rowOff>
                  </from>
                  <to>
                    <xdr:col>9</xdr:col>
                    <xdr:colOff>739140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79" name="Check Box 284">
              <controlPr defaultSize="0" autoFill="0" autoLine="0" autoPict="0">
                <anchor moveWithCells="1">
                  <from>
                    <xdr:col>8</xdr:col>
                    <xdr:colOff>982980</xdr:colOff>
                    <xdr:row>23</xdr:row>
                    <xdr:rowOff>30480</xdr:rowOff>
                  </from>
                  <to>
                    <xdr:col>9</xdr:col>
                    <xdr:colOff>739140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80" name="Check Box 285">
              <controlPr defaultSize="0" autoFill="0" autoLine="0" autoPict="0">
                <anchor moveWithCells="1">
                  <from>
                    <xdr:col>8</xdr:col>
                    <xdr:colOff>982980</xdr:colOff>
                    <xdr:row>25</xdr:row>
                    <xdr:rowOff>30480</xdr:rowOff>
                  </from>
                  <to>
                    <xdr:col>9</xdr:col>
                    <xdr:colOff>739140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81" name="Check Box 286">
              <controlPr defaultSize="0" autoFill="0" autoLine="0" autoPict="0">
                <anchor moveWithCells="1">
                  <from>
                    <xdr:col>8</xdr:col>
                    <xdr:colOff>982980</xdr:colOff>
                    <xdr:row>27</xdr:row>
                    <xdr:rowOff>30480</xdr:rowOff>
                  </from>
                  <to>
                    <xdr:col>9</xdr:col>
                    <xdr:colOff>739140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82" name="Check Box 287">
              <controlPr defaultSize="0" autoFill="0" autoLine="0" autoPict="0">
                <anchor moveWithCells="1">
                  <from>
                    <xdr:col>8</xdr:col>
                    <xdr:colOff>982980</xdr:colOff>
                    <xdr:row>29</xdr:row>
                    <xdr:rowOff>30480</xdr:rowOff>
                  </from>
                  <to>
                    <xdr:col>9</xdr:col>
                    <xdr:colOff>739140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83" name="Check Box 288">
              <controlPr defaultSize="0" autoFill="0" autoLine="0" autoPict="0">
                <anchor moveWithCells="1">
                  <from>
                    <xdr:col>8</xdr:col>
                    <xdr:colOff>982980</xdr:colOff>
                    <xdr:row>31</xdr:row>
                    <xdr:rowOff>30480</xdr:rowOff>
                  </from>
                  <to>
                    <xdr:col>9</xdr:col>
                    <xdr:colOff>739140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84" name="Check Box 289">
              <controlPr defaultSize="0" autoFill="0" autoLine="0" autoPict="0">
                <anchor moveWithCells="1">
                  <from>
                    <xdr:col>8</xdr:col>
                    <xdr:colOff>982980</xdr:colOff>
                    <xdr:row>35</xdr:row>
                    <xdr:rowOff>30480</xdr:rowOff>
                  </from>
                  <to>
                    <xdr:col>9</xdr:col>
                    <xdr:colOff>739140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85" name="Check Box 290">
              <controlPr defaultSize="0" autoFill="0" autoLine="0" autoPict="0">
                <anchor moveWithCells="1">
                  <from>
                    <xdr:col>8</xdr:col>
                    <xdr:colOff>982980</xdr:colOff>
                    <xdr:row>37</xdr:row>
                    <xdr:rowOff>30480</xdr:rowOff>
                  </from>
                  <to>
                    <xdr:col>9</xdr:col>
                    <xdr:colOff>739140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86" name="Check Box 291">
              <controlPr defaultSize="0" autoFill="0" autoLine="0" autoPict="0">
                <anchor moveWithCells="1">
                  <from>
                    <xdr:col>8</xdr:col>
                    <xdr:colOff>982980</xdr:colOff>
                    <xdr:row>39</xdr:row>
                    <xdr:rowOff>30480</xdr:rowOff>
                  </from>
                  <to>
                    <xdr:col>9</xdr:col>
                    <xdr:colOff>739140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87" name="Check Box 292">
              <controlPr defaultSize="0" autoFill="0" autoLine="0" autoPict="0">
                <anchor moveWithCells="1">
                  <from>
                    <xdr:col>8</xdr:col>
                    <xdr:colOff>982980</xdr:colOff>
                    <xdr:row>41</xdr:row>
                    <xdr:rowOff>30480</xdr:rowOff>
                  </from>
                  <to>
                    <xdr:col>9</xdr:col>
                    <xdr:colOff>739140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88" name="Check Box 293">
              <controlPr defaultSize="0" autoFill="0" autoLine="0" autoPict="0">
                <anchor moveWithCells="1">
                  <from>
                    <xdr:col>8</xdr:col>
                    <xdr:colOff>982980</xdr:colOff>
                    <xdr:row>43</xdr:row>
                    <xdr:rowOff>30480</xdr:rowOff>
                  </from>
                  <to>
                    <xdr:col>9</xdr:col>
                    <xdr:colOff>739140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89" name="Check Box 294">
              <controlPr defaultSize="0" autoFill="0" autoLine="0" autoPict="0">
                <anchor moveWithCells="1">
                  <from>
                    <xdr:col>8</xdr:col>
                    <xdr:colOff>982980</xdr:colOff>
                    <xdr:row>45</xdr:row>
                    <xdr:rowOff>30480</xdr:rowOff>
                  </from>
                  <to>
                    <xdr:col>9</xdr:col>
                    <xdr:colOff>739140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90" name="Check Box 295">
              <controlPr defaultSize="0" autoFill="0" autoLine="0" autoPict="0">
                <anchor moveWithCells="1">
                  <from>
                    <xdr:col>8</xdr:col>
                    <xdr:colOff>982980</xdr:colOff>
                    <xdr:row>47</xdr:row>
                    <xdr:rowOff>30480</xdr:rowOff>
                  </from>
                  <to>
                    <xdr:col>9</xdr:col>
                    <xdr:colOff>739140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91" name="Check Box 296">
              <controlPr defaultSize="0" autoFill="0" autoLine="0" autoPict="0">
                <anchor moveWithCells="1">
                  <from>
                    <xdr:col>8</xdr:col>
                    <xdr:colOff>982980</xdr:colOff>
                    <xdr:row>49</xdr:row>
                    <xdr:rowOff>30480</xdr:rowOff>
                  </from>
                  <to>
                    <xdr:col>9</xdr:col>
                    <xdr:colOff>739140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92" name="Check Box 297">
              <controlPr defaultSize="0" autoFill="0" autoLine="0" autoPict="0">
                <anchor moveWithCells="1">
                  <from>
                    <xdr:col>8</xdr:col>
                    <xdr:colOff>982980</xdr:colOff>
                    <xdr:row>51</xdr:row>
                    <xdr:rowOff>30480</xdr:rowOff>
                  </from>
                  <to>
                    <xdr:col>9</xdr:col>
                    <xdr:colOff>739140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93" name="Check Box 298">
              <controlPr defaultSize="0" autoFill="0" autoLine="0" autoPict="0">
                <anchor moveWithCells="1">
                  <from>
                    <xdr:col>2</xdr:col>
                    <xdr:colOff>975360</xdr:colOff>
                    <xdr:row>27</xdr:row>
                    <xdr:rowOff>30480</xdr:rowOff>
                  </from>
                  <to>
                    <xdr:col>3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94" name="Check Box 299">
              <controlPr defaultSize="0" autoFill="0" autoLine="0" autoPict="0">
                <anchor moveWithCells="1">
                  <from>
                    <xdr:col>2</xdr:col>
                    <xdr:colOff>975360</xdr:colOff>
                    <xdr:row>27</xdr:row>
                    <xdr:rowOff>30480</xdr:rowOff>
                  </from>
                  <to>
                    <xdr:col>3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95" name="Check Box 300">
              <controlPr defaultSize="0" autoFill="0" autoLine="0" autoPict="0">
                <anchor moveWithCells="1">
                  <from>
                    <xdr:col>5</xdr:col>
                    <xdr:colOff>975360</xdr:colOff>
                    <xdr:row>47</xdr:row>
                    <xdr:rowOff>30480</xdr:rowOff>
                  </from>
                  <to>
                    <xdr:col>5</xdr:col>
                    <xdr:colOff>2095500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96" name="Check Box 301">
              <controlPr defaultSize="0" autoFill="0" autoLine="0" autoPict="0">
                <anchor moveWithCells="1">
                  <from>
                    <xdr:col>5</xdr:col>
                    <xdr:colOff>975360</xdr:colOff>
                    <xdr:row>49</xdr:row>
                    <xdr:rowOff>30480</xdr:rowOff>
                  </from>
                  <to>
                    <xdr:col>5</xdr:col>
                    <xdr:colOff>2095500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97" name="Check Box 302">
              <controlPr defaultSize="0" autoFill="0" autoLine="0" autoPict="0">
                <anchor moveWithCells="1">
                  <from>
                    <xdr:col>5</xdr:col>
                    <xdr:colOff>975360</xdr:colOff>
                    <xdr:row>53</xdr:row>
                    <xdr:rowOff>30480</xdr:rowOff>
                  </from>
                  <to>
                    <xdr:col>5</xdr:col>
                    <xdr:colOff>2095500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98" name="Check Box 303">
              <controlPr defaultSize="0" autoFill="0" autoLine="0" autoPict="0">
                <anchor moveWithCells="1">
                  <from>
                    <xdr:col>5</xdr:col>
                    <xdr:colOff>975360</xdr:colOff>
                    <xdr:row>57</xdr:row>
                    <xdr:rowOff>30480</xdr:rowOff>
                  </from>
                  <to>
                    <xdr:col>5</xdr:col>
                    <xdr:colOff>2095500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99" name="Check Box 304">
              <controlPr defaultSize="0" autoFill="0" autoLine="0" autoPict="0">
                <anchor moveWithCells="1">
                  <from>
                    <xdr:col>8</xdr:col>
                    <xdr:colOff>982980</xdr:colOff>
                    <xdr:row>47</xdr:row>
                    <xdr:rowOff>30480</xdr:rowOff>
                  </from>
                  <to>
                    <xdr:col>9</xdr:col>
                    <xdr:colOff>739140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200" name="Check Box 305">
              <controlPr defaultSize="0" autoFill="0" autoLine="0" autoPict="0">
                <anchor moveWithCells="1">
                  <from>
                    <xdr:col>8</xdr:col>
                    <xdr:colOff>982980</xdr:colOff>
                    <xdr:row>49</xdr:row>
                    <xdr:rowOff>30480</xdr:rowOff>
                  </from>
                  <to>
                    <xdr:col>9</xdr:col>
                    <xdr:colOff>739140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201" name="Check Box 306">
              <controlPr defaultSize="0" autoFill="0" autoLine="0" autoPict="0">
                <anchor moveWithCells="1">
                  <from>
                    <xdr:col>8</xdr:col>
                    <xdr:colOff>982980</xdr:colOff>
                    <xdr:row>51</xdr:row>
                    <xdr:rowOff>30480</xdr:rowOff>
                  </from>
                  <to>
                    <xdr:col>9</xdr:col>
                    <xdr:colOff>739140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202" name="Check Box 307">
              <controlPr defaultSize="0" autoFill="0" autoLine="0" autoPict="0">
                <anchor moveWithCells="1">
                  <from>
                    <xdr:col>8</xdr:col>
                    <xdr:colOff>982980</xdr:colOff>
                    <xdr:row>53</xdr:row>
                    <xdr:rowOff>30480</xdr:rowOff>
                  </from>
                  <to>
                    <xdr:col>9</xdr:col>
                    <xdr:colOff>739140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203" name="Check Box 308">
              <controlPr defaultSize="0" autoFill="0" autoLine="0" autoPict="0">
                <anchor moveWithCells="1">
                  <from>
                    <xdr:col>5</xdr:col>
                    <xdr:colOff>975360</xdr:colOff>
                    <xdr:row>47</xdr:row>
                    <xdr:rowOff>30480</xdr:rowOff>
                  </from>
                  <to>
                    <xdr:col>5</xdr:col>
                    <xdr:colOff>2095500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204" name="Check Box 309">
              <controlPr defaultSize="0" autoFill="0" autoLine="0" autoPict="0">
                <anchor moveWithCells="1">
                  <from>
                    <xdr:col>5</xdr:col>
                    <xdr:colOff>975360</xdr:colOff>
                    <xdr:row>49</xdr:row>
                    <xdr:rowOff>30480</xdr:rowOff>
                  </from>
                  <to>
                    <xdr:col>5</xdr:col>
                    <xdr:colOff>2095500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205" name="Check Box 310">
              <controlPr defaultSize="0" autoFill="0" autoLine="0" autoPict="0">
                <anchor moveWithCells="1">
                  <from>
                    <xdr:col>8</xdr:col>
                    <xdr:colOff>982980</xdr:colOff>
                    <xdr:row>47</xdr:row>
                    <xdr:rowOff>30480</xdr:rowOff>
                  </from>
                  <to>
                    <xdr:col>9</xdr:col>
                    <xdr:colOff>739140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206" name="Check Box 311">
              <controlPr defaultSize="0" autoFill="0" autoLine="0" autoPict="0">
                <anchor moveWithCells="1">
                  <from>
                    <xdr:col>8</xdr:col>
                    <xdr:colOff>982980</xdr:colOff>
                    <xdr:row>49</xdr:row>
                    <xdr:rowOff>30480</xdr:rowOff>
                  </from>
                  <to>
                    <xdr:col>9</xdr:col>
                    <xdr:colOff>739140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207" name="Check Box 312">
              <controlPr defaultSize="0" autoFill="0" autoLine="0" autoPict="0">
                <anchor moveWithCells="1">
                  <from>
                    <xdr:col>5</xdr:col>
                    <xdr:colOff>975360</xdr:colOff>
                    <xdr:row>47</xdr:row>
                    <xdr:rowOff>30480</xdr:rowOff>
                  </from>
                  <to>
                    <xdr:col>5</xdr:col>
                    <xdr:colOff>2095500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208" name="Check Box 313">
              <controlPr defaultSize="0" autoFill="0" autoLine="0" autoPict="0">
                <anchor moveWithCells="1">
                  <from>
                    <xdr:col>5</xdr:col>
                    <xdr:colOff>975360</xdr:colOff>
                    <xdr:row>49</xdr:row>
                    <xdr:rowOff>30480</xdr:rowOff>
                  </from>
                  <to>
                    <xdr:col>5</xdr:col>
                    <xdr:colOff>2095500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209" name="Check Box 314">
              <controlPr defaultSize="0" autoFill="0" autoLine="0" autoPict="0">
                <anchor moveWithCells="1">
                  <from>
                    <xdr:col>8</xdr:col>
                    <xdr:colOff>982980</xdr:colOff>
                    <xdr:row>47</xdr:row>
                    <xdr:rowOff>30480</xdr:rowOff>
                  </from>
                  <to>
                    <xdr:col>9</xdr:col>
                    <xdr:colOff>739140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210" name="Check Box 315">
              <controlPr defaultSize="0" autoFill="0" autoLine="0" autoPict="0">
                <anchor moveWithCells="1">
                  <from>
                    <xdr:col>8</xdr:col>
                    <xdr:colOff>982980</xdr:colOff>
                    <xdr:row>49</xdr:row>
                    <xdr:rowOff>30480</xdr:rowOff>
                  </from>
                  <to>
                    <xdr:col>9</xdr:col>
                    <xdr:colOff>739140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211" name="Check Box 316">
              <controlPr defaultSize="0" autoFill="0" autoLine="0" autoPict="0">
                <anchor moveWithCells="1">
                  <from>
                    <xdr:col>5</xdr:col>
                    <xdr:colOff>975360</xdr:colOff>
                    <xdr:row>61</xdr:row>
                    <xdr:rowOff>30480</xdr:rowOff>
                  </from>
                  <to>
                    <xdr:col>5</xdr:col>
                    <xdr:colOff>2095500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212" name="Check Box 317">
              <controlPr defaultSize="0" autoFill="0" autoLine="0" autoPict="0">
                <anchor moveWithCells="1">
                  <from>
                    <xdr:col>2</xdr:col>
                    <xdr:colOff>975360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213" name="Check Box 318">
              <controlPr defaultSize="0" autoFill="0" autoLine="0" autoPict="0">
                <anchor moveWithCells="1">
                  <from>
                    <xdr:col>2</xdr:col>
                    <xdr:colOff>975360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214" name="Check Box 319">
              <controlPr defaultSize="0" autoFill="0" autoLine="0" autoPict="0">
                <anchor moveWithCells="1">
                  <from>
                    <xdr:col>2</xdr:col>
                    <xdr:colOff>975360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215" name="Check Box 320">
              <controlPr defaultSize="0" autoFill="0" autoLine="0" autoPict="0">
                <anchor moveWithCells="1">
                  <from>
                    <xdr:col>2</xdr:col>
                    <xdr:colOff>975360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216" name="Check Box 321">
              <controlPr defaultSize="0" autoFill="0" autoLine="0" autoPict="0">
                <anchor moveWithCells="1">
                  <from>
                    <xdr:col>5</xdr:col>
                    <xdr:colOff>975360</xdr:colOff>
                    <xdr:row>65</xdr:row>
                    <xdr:rowOff>30480</xdr:rowOff>
                  </from>
                  <to>
                    <xdr:col>5</xdr:col>
                    <xdr:colOff>2095500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217" name="Check Box 322">
              <controlPr defaultSize="0" autoFill="0" autoLine="0" autoPict="0">
                <anchor moveWithCells="1">
                  <from>
                    <xdr:col>5</xdr:col>
                    <xdr:colOff>975360</xdr:colOff>
                    <xdr:row>63</xdr:row>
                    <xdr:rowOff>30480</xdr:rowOff>
                  </from>
                  <to>
                    <xdr:col>5</xdr:col>
                    <xdr:colOff>2095500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218" name="Check Box 323">
              <controlPr defaultSize="0" autoFill="0" autoLine="0" autoPict="0">
                <anchor moveWithCells="1">
                  <from>
                    <xdr:col>8</xdr:col>
                    <xdr:colOff>982980</xdr:colOff>
                    <xdr:row>33</xdr:row>
                    <xdr:rowOff>30480</xdr:rowOff>
                  </from>
                  <to>
                    <xdr:col>9</xdr:col>
                    <xdr:colOff>739140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219" name="Check Box 324">
              <controlPr defaultSize="0" autoFill="0" autoLine="0" autoPict="0">
                <anchor moveWithCells="1">
                  <from>
                    <xdr:col>2</xdr:col>
                    <xdr:colOff>975360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220" name="Check Box 325">
              <controlPr defaultSize="0" autoFill="0" autoLine="0" autoPict="0">
                <anchor moveWithCells="1">
                  <from>
                    <xdr:col>2</xdr:col>
                    <xdr:colOff>975360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221" name="Check Box 326">
              <controlPr defaultSize="0" autoFill="0" autoLine="0" autoPict="0">
                <anchor moveWithCells="1">
                  <from>
                    <xdr:col>2</xdr:col>
                    <xdr:colOff>975360</xdr:colOff>
                    <xdr:row>47</xdr:row>
                    <xdr:rowOff>30480</xdr:rowOff>
                  </from>
                  <to>
                    <xdr:col>3</xdr:col>
                    <xdr:colOff>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2025-07-23T13:52:19Z</cp:lastPrinted>
  <dcterms:created xsi:type="dcterms:W3CDTF">2001-08-01T17:12:05Z</dcterms:created>
  <dcterms:modified xsi:type="dcterms:W3CDTF">2025-07-23T14:12:11Z</dcterms:modified>
</cp:coreProperties>
</file>