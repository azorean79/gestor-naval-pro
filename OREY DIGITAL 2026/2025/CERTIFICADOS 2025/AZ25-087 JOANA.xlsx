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794646C-AE05-4997-891B-E98685D4B7D9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K47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<sst xmlns="http://schemas.openxmlformats.org/spreadsheetml/2006/main" count="359" uniqueCount="324">
  <si>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</si>
  <si>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</si>
  <si>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</si>
  <si>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</si>
  <si>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</si>
  <si>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</si>
  <si>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</si>
  <si>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</si>
  <si>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</si>
  <si>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</si>
  <si>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</si>
  <si>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</si>
  <si>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</si>
  <si>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</si>
  <si>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</si>
  <si>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</si>
  <si>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</si>
  <si>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</si>
  <si>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</si>
  <si>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</si>
  <si>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</si>
  <si>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</si>
  <si>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</si>
  <si>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</si>
  <si>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</si>
  <si>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</si>
  <si>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</si>
  <si>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</si>
  <si>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</si>
  <si>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</si>
  <si>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</si>
  <si>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</si>
  <si>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</si>
  <si>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</si>
  <si>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</si>
  <si>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</si>
  <si>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</si>
  <si>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</si>
  <si>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</si>
  <si>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</si>
  <si>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</si>
  <si>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</si>
  <si>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</si>
  <si>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</si>
  <si>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</si>
  <si>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</si>
  <si>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</si>
  <si>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</si>
  <si>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</si>
  <si>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</si>
  <si>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</si>
  <si>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</si>
  <si>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</si>
  <si>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</si>
  <si>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</si>
  <si>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</si>
  <si>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</si>
  <si>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</si>
  <si>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</si>
  <si>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</si>
  <si>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</si>
  <si>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</si>
  <si>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</si>
  <si>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</si>
  <si>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</si>
  <si>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</si>
  <si>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</si>
  <si>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</si>
  <si>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</si>
  <si>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</si>
  <si>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</si>
  <si>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</si>
  <si>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</si>
  <si>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</si>
  <si>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</si>
  <si>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</si>
  <si>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</si>
  <si>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</si>
  <si>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</si>
  <si>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</si>
  <si>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</si>
  <si>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</si>
  <si>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</si>
  <si>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</si>
  <si>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</si>
  <si>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</si>
  <si>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</si>
  <si>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</si>
  <si>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</si>
  <si>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</si>
  <si>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</si>
  <si>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</si>
  <si>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</si>
  <si>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</si>
  <si>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</si>
  <si>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</si>
  <si>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</si>
  <si>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</si>
  <si>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</si>
  <si>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</si>
  <si>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</si>
  <si>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</si>
  <si>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</si>
  <si>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</si>
  <si>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</si>
  <si>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</si>
  <si>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</si>
  <si>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</si>
  <si>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</si>
  <si>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</si>
  <si>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</si>
  <si>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</si>
  <si>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</si>
  <si>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</si>
  <si>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</si>
  <si>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</si>
  <si>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</si>
  <si>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</si>
  <si>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</si>
  <si>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</si>
  <si>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</si>
  <si>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</si>
  <si>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</si>
  <si>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</si>
  <si>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</si>
  <si>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</si>
  <si>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</si>
  <si>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</si>
  <si>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</si>
  <si>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</si>
  <si>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</si>
  <si>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</si>
  <si>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</si>
  <si>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</si>
  <si>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</si>
  <si>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</si>
  <si>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</si>
  <si>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</si>
  <si>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</si>
  <si>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</si>
  <si>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</si>
  <si>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</si>
  <si>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</si>
  <si>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</si>
  <si>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</si>
  <si>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</si>
  <si>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</si>
  <si>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</si>
  <si>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</si>
  <si>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</si>
  <si>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</si>
  <si>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</si>
  <si>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</si>
  <si>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</si>
  <si>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</si>
  <si>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</si>
  <si>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</si>
  <si>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</si>
  <si>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</si>
  <si>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</si>
  <si>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</si>
  <si>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</si>
  <si>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</si>
  <si>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</si>
  <si>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</si>
  <si>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</si>
  <si>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</si>
  <si>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</si>
  <si>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</si>
  <si>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</si>
  <si>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</si>
  <si>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</si>
  <si>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</si>
  <si>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</si>
  <si>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</si>
  <si>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</si>
  <si>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</si>
  <si>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</si>
  <si>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</si>
  <si>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</si>
  <si>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</si>
  <si>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</si>
  <si>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</si>
  <si>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</si>
  <si>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</si>
  <si>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</si>
  <si>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</si>
  <si>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</si>
  <si>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</si>
  <si>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</si>
  <si>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</si>
  <si>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</si>
  <si>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</si>
  <si>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</si>
  <si>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</si>
  <si>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</si>
  <si>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</si>
  <si>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</si>
  <si>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</si>
  <si>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</si>
  <si>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</si>
  <si>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</si>
  <si>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</si>
  <si>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</si>
  <si>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</si>
  <si>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</si>
  <si>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</si>
  <si>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</si>
  <si>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</si>
  <si>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</si>
  <si>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</si>
  <si>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</si>
  <si>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</si>
  <si>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</si>
  <si>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</si>
  <si>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</si>
  <si>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</si>
  <si>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</si>
  <si>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</si>
  <si>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</si>
  <si>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</si>
  <si>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</si>
  <si>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</si>
  <si>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</si>
  <si>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</si>
  <si>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</si>
  <si>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</si>
  <si>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</si>
  <si>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</si>
  <si>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</si>
  <si>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</si>
  <si>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</si>
  <si>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</si>
  <si>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</si>
  <si>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</si>
  <si>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</si>
  <si>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</si>
  <si>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</si>
  <si>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</si>
  <si>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</si>
  <si>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</si>
  <si>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</si>
  <si>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</si>
  <si>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</si>
  <si>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</si>
  <si>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</si>
  <si>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</si>
  <si>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</si>
  <si>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</si>
  <si>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</si>
  <si>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</si>
  <si>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</si>
  <si>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</si>
  <si>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</si>
  <si>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</si>
  <si>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</si>
  <si>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</si>
  <si>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</si>
  <si>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</si>
  <si>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</si>
  <si>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</si>
  <si>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</si>
  <si>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</si>
  <si>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</si>
  <si>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</si>
  <si>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</si>
  <si>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</si>
  <si>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</si>
  <si>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</si>
  <si>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</si>
  <si>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</si>
  <si>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</si>
  <si>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</si>
  <si>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</si>
  <si>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</si>
  <si>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</si>
  <si>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</si>
  <si>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</si>
  <si>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</si>
  <si>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</si>
  <si>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</si>
  <si>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</si>
  <si>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</si>
  <si>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</si>
  <si>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</si>
  <si>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</si>
  <si>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</si>
  <si>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</si>
  <si>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</si>
  <si>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</si>
  <si>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</si>
  <si>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</si>
  <si>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</si>
  <si>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</si>
  <si>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</si>
  <si>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</si>
  <si>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</si>
  <si>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</si>
  <si>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</si>
  <si>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</si>
  <si>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</si>
  <si>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</si>
  <si>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</si>
  <si>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</si>
  <si>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</si>
  <si>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</si>
  <si>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</si>
  <si>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9 MT</t>
  </si>
  <si>
    <t>17 Cº</t>
  </si>
  <si>
    <t>JOANA</t>
  </si>
  <si>
    <t>ESPIRITO AZUL</t>
  </si>
  <si>
    <t>1020 Hpa</t>
  </si>
  <si>
    <t xml:space="preserve">inH2O [X ] inHg [   ] mbar [  ] </t>
  </si>
  <si>
    <t>PORTUGAL</t>
  </si>
  <si>
    <t>EUROVINIL</t>
  </si>
  <si>
    <t>79160295</t>
  </si>
  <si>
    <t>6,88</t>
  </si>
  <si>
    <t>4,775</t>
  </si>
  <si>
    <t>0,080</t>
  </si>
  <si>
    <t>03/2016</t>
  </si>
  <si>
    <t>03/16</t>
  </si>
  <si>
    <t>G38330</t>
  </si>
  <si>
    <t>&lt;24H</t>
  </si>
  <si>
    <t>AZ25-087-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</si>
</sst>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opLeftCell="A22" workbookViewId="0">
      <selection activeCell="C48" sqref="C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AZ25-087-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EUROVINIL</v>
      </c>
      <c r="D12" s="184"/>
      <c r="E12" s="185"/>
      <c r="F12" s="174"/>
      <c r="G12" s="175">
        <f>QUADRO!J7</f>
        <v>6</v>
      </c>
      <c r="H12" s="174"/>
      <c r="I12" s="187" t="str">
        <f>QUADRO!C7</f>
        <v>79160295</v>
      </c>
      <c r="J12" s="188"/>
      <c r="K12" s="173" t="str">
        <f>QUADRO!G79</f>
        <v>03/2016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306</v>
      </c>
      <c r="D15" s="186"/>
      <c r="E15" s="186"/>
      <c r="F15" s="178"/>
      <c r="G15" s="26">
        <v>9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G38330</v>
      </c>
      <c r="D19" s="208"/>
      <c r="E19" s="208"/>
      <c r="F19" s="209"/>
      <c r="G19" s="190">
        <f>QUADRO!I62</f>
        <v>2.0099999999999998</v>
      </c>
      <c r="H19" s="190"/>
      <c r="I19" s="190" t="str">
        <f>QUADRO!I64</f>
        <v>0,080</v>
      </c>
      <c r="J19" s="190"/>
      <c r="K19" s="191" t="str">
        <f>QUADRO!I66</f>
        <v>03/16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">
        <v>322</v>
      </c>
      <c r="H26" s="221"/>
      <c r="I26" s="201" t="str">
        <f>QUADRO!C7</f>
        <v>79160295</v>
      </c>
      <c r="J26" s="202"/>
      <c r="K26" s="203">
        <f>QUADRO!F81+366+365+365</f>
        <v>46858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v>45762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46858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313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">
        <v>309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310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303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F81" sqref="F81:F82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323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315</v>
      </c>
      <c r="D7" s="80" t="s">
        <v>93</v>
      </c>
      <c r="E7" s="256" t="s">
        <v>309</v>
      </c>
      <c r="F7" s="257"/>
      <c r="G7" s="81" t="s">
        <v>94</v>
      </c>
      <c r="H7" s="256" t="s">
        <v>314</v>
      </c>
      <c r="I7" s="268"/>
      <c r="J7" s="271">
        <v>6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305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307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321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316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317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6.8650000000000002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2.0099999999999998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318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320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312</v>
      </c>
      <c r="E69" s="289"/>
      <c r="F69" s="144" t="s">
        <v>268</v>
      </c>
      <c r="G69" s="145" t="s">
        <v>269</v>
      </c>
      <c r="H69" s="292" t="s">
        <v>308</v>
      </c>
      <c r="I69" s="145" t="s">
        <v>270</v>
      </c>
      <c r="J69" s="294" t="s">
        <v>308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311</v>
      </c>
      <c r="I71" s="145" t="s">
        <v>270</v>
      </c>
      <c r="J71" s="292" t="s">
        <v>311</v>
      </c>
    </row>
    <row r="72" spans="1:11" ht="42" customHeight="1" x14ac:dyDescent="0.3">
      <c r="B72" s="287"/>
      <c r="C72" s="151">
        <v>0.39583333333333331</v>
      </c>
      <c r="D72" s="151">
        <v>0.4375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54.1</v>
      </c>
      <c r="D73" s="299">
        <v>53.8</v>
      </c>
      <c r="E73" s="301">
        <f>1-(D73/C73)</f>
        <v>5.5452865064695711E-3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57.2</v>
      </c>
      <c r="D75" s="299">
        <v>56</v>
      </c>
      <c r="E75" s="301">
        <f>1-(D75/C75)</f>
        <v>2.0979020979021046E-2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319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302</v>
      </c>
      <c r="D81" s="321"/>
      <c r="E81" s="159" t="s">
        <v>293</v>
      </c>
      <c r="F81" s="317">
        <v>45762</v>
      </c>
      <c r="G81" s="159" t="s">
        <v>294</v>
      </c>
      <c r="H81" s="319" t="s">
        <v>304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2022-06-15T11:02:02Z</cp:lastPrinted>
  <dcterms:created xsi:type="dcterms:W3CDTF">2001-08-01T17:12:05Z</dcterms:created>
  <dcterms:modified xsi:type="dcterms:W3CDTF">2025-04-16T15:23:06Z</dcterms:modified>
</cp:coreProperties>
</file>