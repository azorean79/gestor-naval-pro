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9F4A8250-5775-4418-9E93-D8F1BE6040AD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61" i="10" l="1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<sst xmlns="http://schemas.openxmlformats.org/spreadsheetml/2006/main" count="358" uniqueCount="324">
  <si>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</si>
  <si>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</si>
  <si>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</si>
  <si>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</si>
  <si>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</si>
  <si>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</si>
  <si>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</si>
  <si>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</si>
  <si>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</si>
  <si>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</si>
  <si>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</si>
  <si>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</si>
  <si>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</si>
  <si>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</si>
  <si>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</si>
  <si>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</si>
  <si>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</si>
  <si>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</si>
  <si>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</si>
  <si>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</si>
  <si>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</si>
  <si>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</si>
  <si>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</si>
  <si>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</si>
  <si>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</si>
  <si>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</si>
  <si>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</si>
  <si>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</si>
  <si>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</si>
  <si>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</si>
  <si>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</si>
  <si>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</si>
  <si>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</si>
  <si>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</si>
  <si>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</si>
  <si>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</si>
  <si>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</si>
  <si>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</si>
  <si>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</si>
  <si>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</si>
  <si>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</si>
  <si>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</si>
  <si>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</si>
  <si>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</si>
  <si>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</si>
  <si>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</si>
  <si>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</si>
  <si>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</si>
  <si>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</si>
  <si>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</si>
  <si>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</si>
  <si>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</si>
  <si>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</si>
  <si>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</si>
  <si>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</si>
  <si>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</si>
  <si>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</si>
  <si>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</si>
  <si>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</si>
  <si>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</si>
  <si>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</si>
  <si>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</si>
  <si>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</si>
  <si>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</si>
  <si>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</si>
  <si>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</si>
  <si>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</si>
  <si>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</si>
  <si>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</si>
  <si>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</si>
  <si>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</si>
  <si>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</si>
  <si>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</si>
  <si>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</si>
  <si>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</si>
  <si>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</si>
  <si>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</si>
  <si>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</si>
  <si>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</si>
  <si>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</si>
  <si>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</si>
  <si>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</si>
  <si>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</si>
  <si>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</si>
  <si>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</si>
  <si>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</si>
  <si>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</si>
  <si>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</si>
  <si>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</si>
  <si>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</si>
  <si>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</si>
  <si>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</si>
  <si>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</si>
  <si>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</si>
  <si>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</si>
  <si>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</si>
  <si>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</si>
  <si>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</si>
  <si>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</si>
  <si>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</si>
  <si>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</si>
  <si>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</si>
  <si>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</si>
  <si>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</si>
  <si>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</si>
  <si>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</si>
  <si>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</si>
  <si>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</si>
  <si>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</si>
  <si>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</si>
  <si>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</si>
  <si>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</si>
  <si>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</si>
  <si>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</si>
  <si>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</si>
  <si>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</si>
  <si>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</si>
  <si>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</si>
  <si>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</si>
  <si>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</si>
  <si>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</si>
  <si>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</si>
  <si>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</si>
  <si>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</si>
  <si>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</si>
  <si>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</si>
  <si>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</si>
  <si>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</si>
  <si>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</si>
  <si>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</si>
  <si>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</si>
  <si>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</si>
  <si>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</si>
  <si>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</si>
  <si>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</si>
  <si>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</si>
  <si>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</si>
  <si>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</si>
  <si>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</si>
  <si>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</si>
  <si>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</si>
  <si>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</si>
  <si>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</si>
  <si>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</si>
  <si>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</si>
  <si>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</si>
  <si>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</si>
  <si>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</si>
  <si>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</si>
  <si>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</si>
  <si>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</si>
  <si>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</si>
  <si>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</si>
  <si>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</si>
  <si>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</si>
  <si>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</si>
  <si>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</si>
  <si>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</si>
  <si>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</si>
  <si>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</si>
  <si>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</si>
  <si>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</si>
  <si>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</si>
  <si>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</si>
  <si>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</si>
  <si>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</si>
  <si>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</si>
  <si>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</si>
  <si>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</si>
  <si>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</si>
  <si>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</si>
  <si>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</si>
  <si>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</si>
  <si>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</si>
  <si>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</si>
  <si>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</si>
  <si>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</si>
  <si>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</si>
  <si>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</si>
  <si>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</si>
  <si>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</si>
  <si>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</si>
  <si>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</si>
  <si>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</si>
  <si>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</si>
  <si>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</si>
  <si>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</si>
  <si>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</si>
  <si>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</si>
  <si>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</si>
  <si>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</si>
  <si>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</si>
  <si>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</si>
  <si>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</si>
  <si>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</si>
  <si>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</si>
  <si>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</si>
  <si>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</si>
  <si>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</si>
  <si>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</si>
  <si>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</si>
  <si>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</si>
  <si>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</si>
  <si>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</si>
  <si>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</si>
  <si>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</si>
  <si>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</si>
  <si>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</si>
  <si>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</si>
  <si>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</si>
  <si>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</si>
  <si>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</si>
  <si>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</si>
  <si>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</si>
  <si>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</si>
  <si>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</si>
  <si>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</si>
  <si>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</si>
  <si>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</si>
  <si>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</si>
  <si>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</si>
  <si>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</si>
  <si>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</si>
  <si>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</si>
  <si>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</si>
  <si>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</si>
  <si>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</si>
  <si>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</si>
  <si>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</si>
  <si>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</si>
  <si>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</si>
  <si>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</si>
  <si>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</si>
  <si>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</si>
  <si>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</si>
  <si>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</si>
  <si>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</si>
  <si>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</si>
  <si>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</si>
  <si>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</si>
  <si>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</si>
  <si>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</si>
  <si>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</si>
  <si>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</si>
  <si>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</si>
  <si>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</si>
  <si>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</si>
  <si>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</si>
  <si>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</si>
  <si>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</si>
  <si>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</si>
  <si>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</si>
  <si>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</si>
  <si>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</si>
  <si>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</si>
  <si>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</si>
  <si>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</si>
  <si>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</si>
  <si>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</si>
  <si>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</si>
  <si>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</si>
  <si>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</si>
  <si>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</si>
  <si>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</si>
  <si>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</si>
  <si>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</si>
  <si>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</si>
  <si>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</si>
  <si>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</si>
  <si>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</si>
  <si>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</si>
  <si>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</si>
  <si>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</si>
  <si>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</si>
  <si>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</si>
  <si>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</si>
  <si>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</si>
  <si>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</si>
  <si>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</si>
  <si>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</si>
  <si>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</si>
  <si>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</si>
  <si>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</si>
  <si>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</si>
  <si>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</si>
  <si>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</si>
  <si>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</si>
  <si>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</si>
  <si>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</si>
  <si>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</si>
  <si>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</si>
  <si>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</si>
  <si>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</si>
  <si>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</si>
  <si>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</si>
  <si>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</si>
  <si>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</si>
  <si>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</si>
  <si>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</si>
  <si>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</si>
  <si>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</si>
  <si>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</si>
  <si>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</si>
  <si>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</si>
  <si>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</si>
  <si>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</si>
  <si>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</si>
  <si>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</si>
  <si>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MIN</t>
  </si>
  <si>
    <t>ARIMAR</t>
  </si>
  <si>
    <t>18 Cº</t>
  </si>
  <si>
    <t>PVC</t>
  </si>
  <si>
    <t>0,140</t>
  </si>
  <si>
    <t>PJA324273</t>
  </si>
  <si>
    <t>12,890</t>
  </si>
  <si>
    <t>9,320</t>
  </si>
  <si>
    <t>14042002</t>
  </si>
  <si>
    <t>2014</t>
  </si>
  <si>
    <t>MISS POES</t>
  </si>
  <si>
    <t>LUIS SILVESTRE</t>
  </si>
  <si>
    <t xml:space="preserve">inH2O [x ] inHg [   ] mbar [ ] </t>
  </si>
  <si>
    <t>PORTUGAL</t>
  </si>
  <si>
    <t>AZ25-097</t>
  </si>
  <si>
    <t>1005 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</si>
</sst>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opLeftCell="A43" workbookViewId="0">
      <selection activeCell="G56" sqref="G5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3" t="s">
        <v>75</v>
      </c>
      <c r="J3" s="183"/>
      <c r="K3" s="179" t="str">
        <f>QUADRO!I5</f>
        <v>AZ25-097</v>
      </c>
      <c r="L3" s="18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7" t="s">
        <v>76</v>
      </c>
      <c r="J4" s="167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1" t="s">
        <v>67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6"/>
    </row>
    <row r="7" spans="1:13" x14ac:dyDescent="0.25">
      <c r="A7" s="167" t="s">
        <v>2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4"/>
    </row>
    <row r="8" spans="1:13" ht="15" x14ac:dyDescent="0.25">
      <c r="A8" s="23"/>
      <c r="B8" s="182" t="s">
        <v>77</v>
      </c>
      <c r="C8" s="182"/>
      <c r="D8" s="182"/>
      <c r="E8" s="182"/>
      <c r="F8" s="182"/>
      <c r="G8" s="182"/>
      <c r="H8" s="182"/>
      <c r="I8" s="182"/>
      <c r="J8" s="182"/>
      <c r="K8" s="18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5" t="str">
        <f>QUADRO!H7</f>
        <v>ARIMAR</v>
      </c>
      <c r="D12" s="184"/>
      <c r="E12" s="185"/>
      <c r="F12" s="174"/>
      <c r="G12" s="175">
        <f>QUADRO!J7</f>
        <v>12</v>
      </c>
      <c r="H12" s="174"/>
      <c r="I12" s="187" t="str">
        <f>QUADRO!C7</f>
        <v>14042002</v>
      </c>
      <c r="J12" s="188"/>
      <c r="K12" s="173" t="str">
        <f>QUADRO!G79</f>
        <v>2014</v>
      </c>
      <c r="L12" s="174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7" t="s">
        <v>311</v>
      </c>
      <c r="D15" s="186"/>
      <c r="E15" s="186"/>
      <c r="F15" s="178"/>
      <c r="G15" s="26">
        <v>10</v>
      </c>
      <c r="H15" s="20" t="s">
        <v>19</v>
      </c>
      <c r="I15" s="26">
        <v>1</v>
      </c>
      <c r="J15" s="20" t="s">
        <v>68</v>
      </c>
      <c r="K15" s="177">
        <v>6</v>
      </c>
      <c r="L15" s="1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7" t="s">
        <v>25</v>
      </c>
      <c r="D18" s="167"/>
      <c r="E18" s="167"/>
      <c r="F18" s="8"/>
      <c r="G18" s="167" t="s">
        <v>26</v>
      </c>
      <c r="H18" s="167"/>
      <c r="I18" s="167" t="s">
        <v>27</v>
      </c>
      <c r="J18" s="167"/>
      <c r="K18" s="167" t="s">
        <v>28</v>
      </c>
      <c r="L18" s="167"/>
      <c r="M18" s="1"/>
    </row>
    <row r="19" spans="1:13" s="16" customFormat="1" ht="15" x14ac:dyDescent="0.25">
      <c r="A19" s="11"/>
      <c r="B19" s="11"/>
      <c r="C19" s="207" t="str">
        <f>QUADRO!I56</f>
        <v>PJA324273</v>
      </c>
      <c r="D19" s="208"/>
      <c r="E19" s="208"/>
      <c r="F19" s="209"/>
      <c r="G19" s="190">
        <f>QUADRO!I62</f>
        <v>3.43</v>
      </c>
      <c r="H19" s="190"/>
      <c r="I19" s="190" t="str">
        <f>QUADRO!I64</f>
        <v>0,140</v>
      </c>
      <c r="J19" s="190"/>
      <c r="K19" s="191" t="str">
        <f>QUADRO!I66</f>
        <v>2014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80</v>
      </c>
      <c r="B25" s="9"/>
      <c r="C25" s="168"/>
      <c r="D25" s="168"/>
      <c r="E25" s="168"/>
      <c r="F25" s="9"/>
      <c r="G25" s="167" t="s">
        <v>34</v>
      </c>
      <c r="H25" s="167"/>
      <c r="I25" s="167" t="s">
        <v>25</v>
      </c>
      <c r="J25" s="167"/>
      <c r="K25" s="167" t="s">
        <v>35</v>
      </c>
      <c r="L25" s="167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tr">
        <f>QUADRO!F47</f>
        <v>MIN</v>
      </c>
      <c r="H26" s="221"/>
      <c r="I26" s="201" t="str">
        <f>QUADRO!C7</f>
        <v>14042002</v>
      </c>
      <c r="J26" s="202"/>
      <c r="K26" s="203">
        <f>QUADRO!F81+366+365+365</f>
        <v>46875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5"/>
      <c r="H27" s="174"/>
      <c r="I27" s="187"/>
      <c r="J27" s="188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77"/>
      <c r="H33" s="178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193"/>
      <c r="H34" s="194"/>
      <c r="I34" s="193"/>
      <c r="J34" s="194"/>
      <c r="K34" s="201"/>
      <c r="L34" s="202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195"/>
      <c r="H35" s="196"/>
      <c r="I35" s="195"/>
      <c r="J35" s="196"/>
      <c r="K35" s="187"/>
      <c r="L35" s="18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301</v>
      </c>
      <c r="F40" s="218"/>
      <c r="G40" s="52" t="s">
        <v>52</v>
      </c>
      <c r="H40" s="194" t="s">
        <v>301</v>
      </c>
      <c r="I40" s="52" t="s">
        <v>73</v>
      </c>
      <c r="J40" s="194" t="s">
        <v>301</v>
      </c>
      <c r="K40" s="52" t="s">
        <v>52</v>
      </c>
      <c r="L40" s="194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6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/>
      <c r="F42" s="221"/>
      <c r="G42" s="52" t="s">
        <v>54</v>
      </c>
      <c r="H42" s="217"/>
      <c r="I42" s="52" t="s">
        <v>54</v>
      </c>
      <c r="J42" s="217"/>
      <c r="K42" s="52" t="s">
        <v>54</v>
      </c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4"/>
      <c r="F43" s="174"/>
      <c r="G43" s="69" t="s">
        <v>55</v>
      </c>
      <c r="H43" s="174"/>
      <c r="I43" s="69" t="s">
        <v>55</v>
      </c>
      <c r="J43" s="174"/>
      <c r="K43" s="69" t="s">
        <v>55</v>
      </c>
      <c r="L43" s="174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f>QUADRO!F81</f>
        <v>45779</v>
      </c>
      <c r="D47" s="230"/>
      <c r="E47" s="230"/>
      <c r="F47" s="231"/>
      <c r="G47" s="175" t="str">
        <f>QUADRO!C81</f>
        <v xml:space="preserve">OREY TÉCNICA </v>
      </c>
      <c r="H47" s="184"/>
      <c r="I47" s="184"/>
      <c r="J47" s="174"/>
      <c r="K47" s="224">
        <f>C47+365+365+366</f>
        <v>46875</v>
      </c>
      <c r="L47" s="174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14" t="s">
        <v>78</v>
      </c>
      <c r="D49" s="215"/>
      <c r="E49" s="21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16" t="s">
        <v>79</v>
      </c>
      <c r="D50" s="172"/>
      <c r="E50" s="172"/>
      <c r="F50" s="232" t="s">
        <v>305</v>
      </c>
      <c r="G50" s="233"/>
      <c r="H50" s="233"/>
      <c r="I50" s="233"/>
      <c r="J50" s="233"/>
      <c r="K50" s="233"/>
      <c r="L50" s="234"/>
      <c r="M50" s="4"/>
    </row>
    <row r="51" spans="1:17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7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7" ht="15" x14ac:dyDescent="0.25">
      <c r="A55" s="12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72" t="s">
        <v>84</v>
      </c>
      <c r="B57" s="172"/>
      <c r="C57" s="30"/>
      <c r="D57" s="169" t="s">
        <v>321</v>
      </c>
      <c r="E57" s="16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68" t="s">
        <v>64</v>
      </c>
      <c r="B58" s="168"/>
      <c r="C58" s="30"/>
      <c r="D58" s="169"/>
      <c r="E58" s="16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72" t="s">
        <v>65</v>
      </c>
      <c r="B59" s="172"/>
      <c r="C59" s="58" t="s">
        <v>1</v>
      </c>
      <c r="D59" s="170"/>
      <c r="E59" s="170"/>
      <c r="F59" s="64"/>
      <c r="G59" s="42"/>
      <c r="H59" s="40"/>
      <c r="I59" s="240" t="s">
        <v>74</v>
      </c>
      <c r="J59" s="240"/>
      <c r="K59" s="240"/>
      <c r="L59" s="240"/>
      <c r="M59" s="32"/>
      <c r="Q59" s="33" t="s">
        <v>1</v>
      </c>
    </row>
    <row r="60" spans="1:17" ht="9.75" customHeight="1" x14ac:dyDescent="0.25">
      <c r="A60" s="241"/>
      <c r="B60" s="241"/>
      <c r="C60" s="58"/>
      <c r="D60" s="170"/>
      <c r="E60" s="170"/>
      <c r="F60" s="64"/>
      <c r="G60" s="15"/>
      <c r="H60" s="11"/>
      <c r="I60" s="223" t="s">
        <v>82</v>
      </c>
      <c r="J60" s="223"/>
      <c r="K60" s="223"/>
      <c r="L60" s="223"/>
      <c r="M60" s="2"/>
    </row>
    <row r="61" spans="1:17" s="33" customFormat="1" ht="14.1" customHeight="1" x14ac:dyDescent="0.25">
      <c r="A61" s="57" t="s">
        <v>85</v>
      </c>
      <c r="B61" s="57"/>
      <c r="C61" s="30"/>
      <c r="D61" s="169"/>
      <c r="E61" s="16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68" t="s">
        <v>66</v>
      </c>
      <c r="B62" s="168"/>
      <c r="C62" s="30"/>
      <c r="D62" s="169"/>
      <c r="E62" s="16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72" t="s">
        <v>72</v>
      </c>
      <c r="B63" s="172"/>
      <c r="C63" s="30"/>
      <c r="D63" s="171" t="str">
        <f>QUADRO!E7</f>
        <v>MISS POES</v>
      </c>
      <c r="E63" s="171"/>
      <c r="F63" s="171"/>
      <c r="G63" s="17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68" t="s">
        <v>71</v>
      </c>
      <c r="B64" s="168"/>
      <c r="C64" s="30"/>
      <c r="D64" s="171"/>
      <c r="E64" s="171"/>
      <c r="F64" s="171"/>
      <c r="G64" s="17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2" t="s">
        <v>69</v>
      </c>
      <c r="B65" s="172"/>
      <c r="C65" s="30"/>
      <c r="D65" s="169" t="s">
        <v>319</v>
      </c>
      <c r="E65" s="169"/>
      <c r="F65" s="169"/>
      <c r="G65" s="169"/>
      <c r="H65" s="169"/>
      <c r="I65" s="169"/>
      <c r="J65" s="239"/>
      <c r="K65" s="239"/>
      <c r="L65" s="31"/>
      <c r="M65" s="32"/>
    </row>
    <row r="66" spans="1:13" s="72" customFormat="1" ht="9.9" customHeight="1" x14ac:dyDescent="0.25">
      <c r="A66" s="168" t="s">
        <v>70</v>
      </c>
      <c r="B66" s="168"/>
      <c r="C66" s="30"/>
      <c r="D66" s="169"/>
      <c r="E66" s="169"/>
      <c r="F66" s="169"/>
      <c r="G66" s="169"/>
      <c r="H66" s="169"/>
      <c r="I66" s="169"/>
      <c r="J66" s="167" t="s">
        <v>0</v>
      </c>
      <c r="K66" s="167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65" t="s">
        <v>304</v>
      </c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</row>
    <row r="70" spans="1:13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</row>
    <row r="71" spans="1:13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</row>
    <row r="72" spans="1:13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</row>
    <row r="73" spans="1:13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</row>
    <row r="74" spans="1:13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1:13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3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</row>
    <row r="77" spans="1:13" x14ac:dyDescent="0.25">
      <c r="G77" s="166" t="s">
        <v>81</v>
      </c>
      <c r="H77" s="166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G73" sqref="G73:J78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86</v>
      </c>
      <c r="E3" s="242"/>
      <c r="F3" s="242"/>
      <c r="G3" s="242"/>
      <c r="H3" s="243" t="s">
        <v>87</v>
      </c>
      <c r="I3" s="245"/>
      <c r="J3" s="246"/>
    </row>
    <row r="4" spans="2:15" s="79" customFormat="1" ht="23.4" customHeight="1" x14ac:dyDescent="0.4">
      <c r="B4" s="77" t="s">
        <v>88</v>
      </c>
      <c r="C4" s="78"/>
      <c r="D4" s="247" t="s">
        <v>89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90</v>
      </c>
      <c r="C5" s="77"/>
      <c r="H5" s="249" t="s">
        <v>91</v>
      </c>
      <c r="I5" s="251" t="s">
        <v>322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92</v>
      </c>
      <c r="C7" s="254" t="s">
        <v>316</v>
      </c>
      <c r="D7" s="80" t="s">
        <v>93</v>
      </c>
      <c r="E7" s="256" t="s">
        <v>318</v>
      </c>
      <c r="F7" s="257"/>
      <c r="G7" s="81" t="s">
        <v>94</v>
      </c>
      <c r="H7" s="256" t="s">
        <v>309</v>
      </c>
      <c r="I7" s="268"/>
      <c r="J7" s="271">
        <v>12</v>
      </c>
    </row>
    <row r="8" spans="2:15" ht="23.4" customHeight="1" x14ac:dyDescent="0.3">
      <c r="B8" s="82" t="s">
        <v>95</v>
      </c>
      <c r="C8" s="255"/>
      <c r="D8" s="82" t="s">
        <v>96</v>
      </c>
      <c r="E8" s="258"/>
      <c r="F8" s="259"/>
      <c r="G8" s="83" t="s">
        <v>97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307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308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/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60" t="s">
        <v>232</v>
      </c>
      <c r="H56" s="261"/>
      <c r="I56" s="262" t="s">
        <v>313</v>
      </c>
      <c r="J56" s="264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6" t="s">
        <v>235</v>
      </c>
      <c r="H57" s="267"/>
      <c r="I57" s="263"/>
      <c r="J57" s="265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6" t="s">
        <v>238</v>
      </c>
      <c r="H58" s="277"/>
      <c r="I58" s="273" t="s">
        <v>314</v>
      </c>
      <c r="J58" s="274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6" t="s">
        <v>241</v>
      </c>
      <c r="H59" s="267"/>
      <c r="I59" s="263"/>
      <c r="J59" s="275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6" t="s">
        <v>244</v>
      </c>
      <c r="H60" s="277"/>
      <c r="I60" s="273" t="s">
        <v>315</v>
      </c>
      <c r="J60" s="274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6" t="s">
        <v>247</v>
      </c>
      <c r="H61" s="267"/>
      <c r="I61" s="263"/>
      <c r="J61" s="275"/>
      <c r="M61" s="164">
        <f>I60+I62+I64</f>
        <v>12.89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7"/>
      <c r="I62" s="279">
        <v>3.43</v>
      </c>
      <c r="J62" s="281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67"/>
      <c r="I63" s="280"/>
      <c r="J63" s="282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6" t="s">
        <v>256</v>
      </c>
      <c r="H64" s="277"/>
      <c r="I64" s="273" t="s">
        <v>312</v>
      </c>
      <c r="J64" s="274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6" t="s">
        <v>259</v>
      </c>
      <c r="H65" s="267"/>
      <c r="I65" s="263"/>
      <c r="J65" s="275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7"/>
      <c r="I66" s="273" t="s">
        <v>317</v>
      </c>
      <c r="J66" s="274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67"/>
      <c r="I67" s="263"/>
      <c r="J67" s="275"/>
    </row>
    <row r="68" spans="1:11" ht="5.25" customHeight="1" x14ac:dyDescent="0.3">
      <c r="B68" s="296"/>
      <c r="C68" s="297"/>
      <c r="D68" s="297"/>
      <c r="E68" s="297"/>
      <c r="F68" s="297"/>
      <c r="G68" s="297"/>
      <c r="H68" s="297"/>
      <c r="I68" s="297"/>
      <c r="J68" s="298"/>
    </row>
    <row r="69" spans="1:11" ht="21" x14ac:dyDescent="0.3">
      <c r="B69" s="284" t="s">
        <v>266</v>
      </c>
      <c r="C69" s="143" t="s">
        <v>267</v>
      </c>
      <c r="D69" s="288" t="s">
        <v>320</v>
      </c>
      <c r="E69" s="289"/>
      <c r="F69" s="144" t="s">
        <v>268</v>
      </c>
      <c r="G69" s="145" t="s">
        <v>269</v>
      </c>
      <c r="H69" s="292" t="s">
        <v>310</v>
      </c>
      <c r="I69" s="145" t="s">
        <v>270</v>
      </c>
      <c r="J69" s="294" t="s">
        <v>310</v>
      </c>
    </row>
    <row r="70" spans="1:11" ht="21.6" customHeight="1" x14ac:dyDescent="0.3">
      <c r="B70" s="285"/>
      <c r="C70" s="146" t="s">
        <v>271</v>
      </c>
      <c r="D70" s="290"/>
      <c r="E70" s="291"/>
      <c r="F70" s="147" t="s">
        <v>272</v>
      </c>
      <c r="G70" s="148" t="s">
        <v>273</v>
      </c>
      <c r="H70" s="293"/>
      <c r="I70" s="148" t="s">
        <v>274</v>
      </c>
      <c r="J70" s="295"/>
    </row>
    <row r="71" spans="1:11" ht="21" x14ac:dyDescent="0.3">
      <c r="B71" s="286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2" t="s">
        <v>323</v>
      </c>
      <c r="I71" s="145" t="s">
        <v>270</v>
      </c>
      <c r="J71" s="292" t="s">
        <v>323</v>
      </c>
    </row>
    <row r="72" spans="1:11" ht="42" customHeight="1" x14ac:dyDescent="0.3">
      <c r="B72" s="287"/>
      <c r="C72" s="151">
        <v>0.41666666666666669</v>
      </c>
      <c r="D72" s="151">
        <v>0.45833333333333331</v>
      </c>
      <c r="E72" s="152" t="s">
        <v>279</v>
      </c>
      <c r="F72" s="147" t="s">
        <v>280</v>
      </c>
      <c r="G72" s="153" t="s">
        <v>273</v>
      </c>
      <c r="H72" s="293"/>
      <c r="I72" s="153" t="s">
        <v>274</v>
      </c>
      <c r="J72" s="293"/>
    </row>
    <row r="73" spans="1:11" ht="21.6" customHeight="1" x14ac:dyDescent="0.3">
      <c r="B73" s="154" t="s">
        <v>281</v>
      </c>
      <c r="C73" s="299">
        <v>53.9</v>
      </c>
      <c r="D73" s="299">
        <v>52.5</v>
      </c>
      <c r="E73" s="301">
        <f>1-(D73/C73)</f>
        <v>2.5974025974025983E-2</v>
      </c>
      <c r="F73" s="303" t="s">
        <v>282</v>
      </c>
      <c r="G73" s="306"/>
      <c r="H73" s="307"/>
      <c r="I73" s="307"/>
      <c r="J73" s="308"/>
    </row>
    <row r="74" spans="1:11" ht="21.6" customHeight="1" x14ac:dyDescent="0.3">
      <c r="B74" s="155" t="s">
        <v>283</v>
      </c>
      <c r="C74" s="300"/>
      <c r="D74" s="300"/>
      <c r="E74" s="302"/>
      <c r="F74" s="304"/>
      <c r="G74" s="309"/>
      <c r="H74" s="310"/>
      <c r="I74" s="310"/>
      <c r="J74" s="311"/>
    </row>
    <row r="75" spans="1:11" ht="21.6" customHeight="1" x14ac:dyDescent="0.3">
      <c r="B75" s="154" t="s">
        <v>284</v>
      </c>
      <c r="C75" s="299">
        <v>58.7</v>
      </c>
      <c r="D75" s="299">
        <v>56.8</v>
      </c>
      <c r="E75" s="301">
        <f>1-(D75/C75)</f>
        <v>3.2367972742759932E-2</v>
      </c>
      <c r="F75" s="304"/>
      <c r="G75" s="309"/>
      <c r="H75" s="310"/>
      <c r="I75" s="310"/>
      <c r="J75" s="311"/>
    </row>
    <row r="76" spans="1:11" ht="21.6" customHeight="1" x14ac:dyDescent="0.3">
      <c r="B76" s="155" t="s">
        <v>285</v>
      </c>
      <c r="C76" s="300"/>
      <c r="D76" s="300"/>
      <c r="E76" s="302"/>
      <c r="F76" s="304"/>
      <c r="G76" s="309"/>
      <c r="H76" s="310"/>
      <c r="I76" s="310"/>
      <c r="J76" s="311"/>
    </row>
    <row r="77" spans="1:11" ht="21" customHeight="1" x14ac:dyDescent="0.3">
      <c r="B77" s="154" t="s">
        <v>286</v>
      </c>
      <c r="C77" s="315"/>
      <c r="D77" s="315"/>
      <c r="E77" s="325" t="e">
        <f>1-(D77/C77)</f>
        <v>#DIV/0!</v>
      </c>
      <c r="F77" s="304"/>
      <c r="G77" s="309"/>
      <c r="H77" s="310"/>
      <c r="I77" s="310"/>
      <c r="J77" s="311"/>
    </row>
    <row r="78" spans="1:11" ht="21" customHeight="1" x14ac:dyDescent="0.3">
      <c r="B78" s="155" t="s">
        <v>287</v>
      </c>
      <c r="C78" s="316"/>
      <c r="D78" s="316"/>
      <c r="E78" s="326"/>
      <c r="F78" s="305"/>
      <c r="G78" s="312"/>
      <c r="H78" s="313"/>
      <c r="I78" s="313"/>
      <c r="J78" s="314"/>
    </row>
    <row r="79" spans="1:11" s="96" customFormat="1" ht="21.6" customHeight="1" x14ac:dyDescent="0.3">
      <c r="A79" s="76"/>
      <c r="B79" s="154" t="s">
        <v>288</v>
      </c>
      <c r="C79" s="315"/>
      <c r="D79" s="315"/>
      <c r="E79" s="325" t="e">
        <f>1-(D79/C79)</f>
        <v>#DIV/0!</v>
      </c>
      <c r="F79" s="156" t="s">
        <v>289</v>
      </c>
      <c r="G79" s="327" t="s">
        <v>317</v>
      </c>
      <c r="H79" s="329"/>
      <c r="I79" s="330"/>
      <c r="J79" s="331"/>
      <c r="K79" s="76"/>
    </row>
    <row r="80" spans="1:11" ht="21" customHeight="1" x14ac:dyDescent="0.3">
      <c r="B80" s="155" t="s">
        <v>290</v>
      </c>
      <c r="C80" s="316"/>
      <c r="D80" s="316"/>
      <c r="E80" s="326"/>
      <c r="F80" s="157" t="s">
        <v>291</v>
      </c>
      <c r="G80" s="328"/>
      <c r="H80" s="332"/>
      <c r="I80" s="333"/>
      <c r="J80" s="334"/>
    </row>
    <row r="81" spans="1:11" ht="30" customHeight="1" x14ac:dyDescent="0.3">
      <c r="A81" s="96"/>
      <c r="B81" s="158" t="s">
        <v>292</v>
      </c>
      <c r="C81" s="319" t="s">
        <v>303</v>
      </c>
      <c r="D81" s="321"/>
      <c r="E81" s="159" t="s">
        <v>293</v>
      </c>
      <c r="F81" s="317">
        <v>45779</v>
      </c>
      <c r="G81" s="159" t="s">
        <v>294</v>
      </c>
      <c r="H81" s="319" t="s">
        <v>306</v>
      </c>
      <c r="I81" s="320"/>
      <c r="J81" s="321"/>
      <c r="K81" s="96"/>
    </row>
    <row r="82" spans="1:11" ht="28.2" customHeight="1" x14ac:dyDescent="0.3">
      <c r="B82" s="160" t="s">
        <v>295</v>
      </c>
      <c r="C82" s="322"/>
      <c r="D82" s="324"/>
      <c r="E82" s="161" t="s">
        <v>296</v>
      </c>
      <c r="F82" s="318"/>
      <c r="G82" s="161" t="s">
        <v>0</v>
      </c>
      <c r="H82" s="322"/>
      <c r="I82" s="323"/>
      <c r="J82" s="324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2025-05-05T13:27:33Z</cp:lastPrinted>
  <dcterms:created xsi:type="dcterms:W3CDTF">2001-08-01T17:12:05Z</dcterms:created>
  <dcterms:modified xsi:type="dcterms:W3CDTF">2025-05-05T14:06:44Z</dcterms:modified>
</cp:coreProperties>
</file>