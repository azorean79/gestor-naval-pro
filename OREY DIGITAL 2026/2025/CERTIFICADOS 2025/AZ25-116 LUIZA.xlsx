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DF91472-8D0E-46A2-A46C-A6A6B9BF9E93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61" i="10" l="1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<sst xmlns="http://schemas.openxmlformats.org/spreadsheetml/2006/main" count="357" uniqueCount="323">
  <si>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</si>
  <si>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</si>
  <si>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</si>
  <si>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</si>
  <si>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</si>
  <si>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</si>
  <si>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</si>
  <si>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</si>
  <si>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</si>
  <si>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</si>
  <si>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</si>
  <si>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</si>
  <si>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</si>
  <si>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</si>
  <si>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</si>
  <si>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</si>
  <si>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</si>
  <si>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</si>
  <si>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</si>
  <si>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</si>
  <si>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</si>
  <si>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</si>
  <si>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</si>
  <si>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</si>
  <si>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</si>
  <si>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</si>
  <si>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</si>
  <si>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</si>
  <si>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</si>
  <si>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</si>
  <si>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</si>
  <si>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</si>
  <si>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</si>
  <si>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</si>
  <si>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</si>
  <si>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</si>
  <si>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</si>
  <si>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</si>
  <si>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</si>
  <si>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</si>
  <si>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</si>
  <si>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</si>
  <si>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</si>
  <si>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</si>
  <si>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</si>
  <si>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</si>
  <si>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</si>
  <si>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</si>
  <si>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</si>
  <si>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</si>
  <si>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</si>
  <si>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</si>
  <si>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</si>
  <si>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</si>
  <si>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</si>
  <si>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</si>
  <si>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</si>
  <si>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</si>
  <si>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</si>
  <si>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</si>
  <si>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</si>
  <si>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</si>
  <si>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</si>
  <si>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</si>
  <si>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</si>
  <si>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</si>
  <si>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</si>
  <si>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</si>
  <si>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</si>
  <si>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</si>
  <si>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</si>
  <si>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</si>
  <si>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</si>
  <si>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</si>
  <si>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</si>
  <si>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</si>
  <si>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</si>
  <si>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</si>
  <si>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</si>
  <si>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</si>
  <si>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</si>
  <si>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</si>
  <si>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</si>
  <si>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</si>
  <si>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</si>
  <si>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</si>
  <si>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</si>
  <si>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</si>
  <si>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</si>
  <si>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</si>
  <si>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</si>
  <si>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</si>
  <si>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</si>
  <si>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</si>
  <si>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</si>
  <si>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</si>
  <si>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</si>
  <si>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</si>
  <si>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</si>
  <si>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</si>
  <si>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</si>
  <si>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</si>
  <si>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</si>
  <si>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</si>
  <si>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</si>
  <si>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</si>
  <si>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</si>
  <si>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</si>
  <si>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</si>
  <si>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</si>
  <si>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</si>
  <si>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</si>
  <si>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</si>
  <si>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</si>
  <si>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</si>
  <si>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</si>
  <si>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</si>
  <si>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</si>
  <si>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</si>
  <si>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</si>
  <si>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</si>
  <si>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</si>
  <si>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</si>
  <si>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</si>
  <si>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</si>
  <si>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</si>
  <si>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</si>
  <si>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</si>
  <si>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</si>
  <si>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</si>
  <si>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</si>
  <si>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</si>
  <si>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</si>
  <si>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</si>
  <si>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</si>
  <si>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</si>
  <si>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</si>
  <si>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</si>
  <si>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</si>
  <si>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</si>
  <si>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</si>
  <si>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</si>
  <si>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</si>
  <si>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</si>
  <si>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</si>
  <si>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</si>
  <si>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</si>
  <si>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</si>
  <si>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</si>
  <si>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</si>
  <si>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</si>
  <si>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</si>
  <si>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</si>
  <si>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</si>
  <si>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</si>
  <si>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</si>
  <si>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</si>
  <si>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</si>
  <si>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</si>
  <si>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</si>
  <si>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</si>
  <si>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</si>
  <si>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</si>
  <si>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</si>
  <si>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</si>
  <si>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</si>
  <si>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</si>
  <si>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</si>
  <si>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</si>
  <si>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</si>
  <si>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</si>
  <si>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</si>
  <si>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</si>
  <si>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</si>
  <si>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</si>
  <si>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</si>
  <si>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</si>
  <si>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</si>
  <si>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</si>
  <si>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</si>
  <si>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</si>
  <si>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</si>
  <si>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</si>
  <si>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</si>
  <si>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</si>
  <si>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</si>
  <si>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</si>
  <si>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</si>
  <si>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</si>
  <si>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</si>
  <si>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</si>
  <si>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</si>
  <si>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</si>
  <si>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</si>
  <si>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</si>
  <si>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</si>
  <si>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</si>
  <si>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</si>
  <si>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</si>
  <si>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</si>
  <si>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</si>
  <si>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</si>
  <si>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</si>
  <si>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</si>
  <si>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</si>
  <si>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</si>
  <si>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</si>
  <si>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</si>
  <si>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</si>
  <si>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</si>
  <si>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</si>
  <si>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</si>
  <si>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</si>
  <si>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</si>
  <si>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</si>
  <si>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</si>
  <si>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</si>
  <si>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</si>
  <si>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</si>
  <si>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</si>
  <si>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</si>
  <si>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</si>
  <si>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</si>
  <si>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</si>
  <si>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</si>
  <si>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</si>
  <si>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</si>
  <si>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</si>
  <si>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</si>
  <si>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</si>
  <si>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</si>
  <si>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</si>
  <si>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</si>
  <si>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</si>
  <si>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</si>
  <si>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</si>
  <si>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</si>
  <si>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</si>
  <si>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</si>
  <si>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</si>
  <si>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</si>
  <si>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</si>
  <si>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</si>
  <si>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</si>
  <si>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</si>
  <si>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</si>
  <si>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</si>
  <si>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</si>
  <si>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</si>
  <si>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</si>
  <si>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</si>
  <si>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</si>
  <si>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</si>
  <si>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</si>
  <si>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</si>
  <si>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</si>
  <si>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</si>
  <si>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</si>
  <si>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</si>
  <si>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</si>
  <si>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</si>
  <si>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</si>
  <si>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</si>
  <si>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</si>
  <si>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</si>
  <si>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</si>
  <si>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</si>
  <si>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</si>
  <si>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</si>
  <si>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</si>
  <si>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</si>
  <si>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</si>
  <si>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</si>
  <si>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</si>
  <si>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</si>
  <si>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</si>
  <si>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</si>
  <si>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</si>
  <si>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</si>
  <si>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</si>
  <si>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</si>
  <si>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</si>
  <si>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</si>
  <si>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</si>
  <si>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</si>
  <si>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</si>
  <si>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</si>
  <si>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</si>
  <si>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</si>
  <si>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</si>
  <si>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</si>
  <si>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</si>
  <si>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</si>
  <si>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</si>
  <si>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</si>
  <si>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</si>
  <si>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</si>
  <si>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</si>
  <si>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</si>
  <si>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</si>
  <si>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</si>
  <si>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</si>
  <si>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</si>
  <si>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</si>
  <si>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</si>
  <si>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t>JULIO CORREA</t>
  </si>
  <si>
    <t>(2)</t>
  </si>
  <si>
    <t>ARIMAR</t>
  </si>
  <si>
    <t>1020 Hpa</t>
  </si>
  <si>
    <t>18 Cº</t>
  </si>
  <si>
    <t>PVC</t>
  </si>
  <si>
    <t>-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</si>
  <si>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Rua dos Caniços, Nº36, 2625-253 Vialonga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do Outeiro, nº 315F, 4485-010 Avaleda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</si>
  <si>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PORTUGAL</t>
  </si>
  <si>
    <t>AZ25-116</t>
  </si>
  <si>
    <t>LUIZA</t>
  </si>
  <si>
    <t>2005008134</t>
  </si>
  <si>
    <t>JX065965</t>
  </si>
  <si>
    <t>0,126</t>
  </si>
  <si>
    <t>05/20</t>
  </si>
  <si>
    <t>05/2020</t>
  </si>
  <si>
    <t>STD</t>
  </si>
  <si>
    <t>CARLOS MANUEL RAULINO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</si>
</sst>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8"/>
      <name val="Arial"/>
      <family val="1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6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3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workbookViewId="0">
      <selection activeCell="Q66" sqref="Q6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AZ25-116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ARIMAR</v>
      </c>
      <c r="D12" s="166"/>
      <c r="E12" s="236"/>
      <c r="F12" s="167"/>
      <c r="G12" s="165">
        <f>QUADRO!J7</f>
        <v>8</v>
      </c>
      <c r="H12" s="167"/>
      <c r="I12" s="211" t="str">
        <f>QUADRO!C7</f>
        <v>2005008134</v>
      </c>
      <c r="J12" s="212"/>
      <c r="K12" s="230" t="str">
        <f>QUADRO!G79</f>
        <v>05/2020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310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JX065965</v>
      </c>
      <c r="D19" s="198"/>
      <c r="E19" s="198"/>
      <c r="F19" s="199"/>
      <c r="G19" s="227">
        <f>QUADRO!I62</f>
        <v>2.3740000000000001</v>
      </c>
      <c r="H19" s="227"/>
      <c r="I19" s="227" t="str">
        <f>QUADRO!I64</f>
        <v>0,126</v>
      </c>
      <c r="J19" s="227"/>
      <c r="K19" s="228" t="str">
        <f>QUADRO!I66</f>
        <v>05/20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STD</v>
      </c>
      <c r="H26" s="196"/>
      <c r="I26" s="209" t="str">
        <f>QUADRO!C7</f>
        <v>2005008134</v>
      </c>
      <c r="J26" s="210"/>
      <c r="K26" s="221">
        <f>QUADRO!F81+366+365+365</f>
        <v>46892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45796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C47+365+365+366</f>
        <v>46892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/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40" t="s">
        <v>313</v>
      </c>
      <c r="E57" s="240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40"/>
      <c r="E58" s="240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1"/>
      <c r="E59" s="241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1"/>
      <c r="E60" s="241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40"/>
      <c r="E61" s="240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40"/>
      <c r="E62" s="240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2" t="str">
        <f>QUADRO!E7</f>
        <v>LUIZA</v>
      </c>
      <c r="E63" s="242"/>
      <c r="F63" s="242"/>
      <c r="G63" s="242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2"/>
      <c r="E64" s="242"/>
      <c r="F64" s="242"/>
      <c r="G64" s="24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40" t="s">
        <v>322</v>
      </c>
      <c r="E65" s="240"/>
      <c r="F65" s="240"/>
      <c r="G65" s="240"/>
      <c r="H65" s="240"/>
      <c r="I65" s="240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40"/>
      <c r="E66" s="240"/>
      <c r="F66" s="240"/>
      <c r="G66" s="240"/>
      <c r="H66" s="240"/>
      <c r="I66" s="240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312</v>
      </c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</row>
    <row r="70" spans="1:13" x14ac:dyDescent="0.25">
      <c r="A70" s="238"/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</row>
    <row r="71" spans="1:13" x14ac:dyDescent="0.25">
      <c r="A71" s="238"/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</row>
    <row r="72" spans="1:13" x14ac:dyDescent="0.25">
      <c r="A72" s="238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</row>
    <row r="73" spans="1:13" x14ac:dyDescent="0.25">
      <c r="A73" s="238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</row>
    <row r="74" spans="1:13" x14ac:dyDescent="0.25">
      <c r="A74" s="238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</row>
    <row r="75" spans="1:13" x14ac:dyDescent="0.25">
      <c r="A75" s="238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</row>
    <row r="76" spans="1:13" x14ac:dyDescent="0.25">
      <c r="A76" s="238"/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</row>
    <row r="77" spans="1:13" x14ac:dyDescent="0.25">
      <c r="G77" s="239" t="s">
        <v>81</v>
      </c>
      <c r="H77" s="239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48" sqref="F4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4" t="s">
        <v>86</v>
      </c>
      <c r="E3" s="324"/>
      <c r="F3" s="324"/>
      <c r="G3" s="324"/>
      <c r="H3" s="325" t="s">
        <v>87</v>
      </c>
      <c r="I3" s="327"/>
      <c r="J3" s="328"/>
    </row>
    <row r="4" spans="2:15" s="79" customFormat="1" ht="23.4" customHeight="1" x14ac:dyDescent="0.4">
      <c r="B4" s="77" t="s">
        <v>88</v>
      </c>
      <c r="C4" s="78"/>
      <c r="D4" s="329" t="s">
        <v>89</v>
      </c>
      <c r="E4" s="329"/>
      <c r="F4" s="329"/>
      <c r="G4" s="330"/>
      <c r="H4" s="326"/>
      <c r="I4" s="328"/>
      <c r="J4" s="328"/>
    </row>
    <row r="5" spans="2:15" s="79" customFormat="1" ht="23.4" customHeight="1" x14ac:dyDescent="0.4">
      <c r="B5" s="77" t="s">
        <v>90</v>
      </c>
      <c r="C5" s="77"/>
      <c r="H5" s="331" t="s">
        <v>91</v>
      </c>
      <c r="I5" s="333" t="s">
        <v>314</v>
      </c>
      <c r="J5" s="334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2"/>
      <c r="I6" s="335"/>
      <c r="J6" s="335"/>
    </row>
    <row r="7" spans="2:15" ht="23.4" customHeight="1" x14ac:dyDescent="0.3">
      <c r="B7" s="80" t="s">
        <v>92</v>
      </c>
      <c r="C7" s="308" t="s">
        <v>316</v>
      </c>
      <c r="D7" s="80" t="s">
        <v>93</v>
      </c>
      <c r="E7" s="310" t="s">
        <v>315</v>
      </c>
      <c r="F7" s="311"/>
      <c r="G7" s="81" t="s">
        <v>94</v>
      </c>
      <c r="H7" s="310" t="s">
        <v>307</v>
      </c>
      <c r="I7" s="319"/>
      <c r="J7" s="322">
        <v>8</v>
      </c>
    </row>
    <row r="8" spans="2:15" ht="23.4" customHeight="1" x14ac:dyDescent="0.3">
      <c r="B8" s="82" t="s">
        <v>95</v>
      </c>
      <c r="C8" s="309"/>
      <c r="D8" s="82" t="s">
        <v>96</v>
      </c>
      <c r="E8" s="312"/>
      <c r="F8" s="313"/>
      <c r="G8" s="83" t="s">
        <v>97</v>
      </c>
      <c r="H8" s="320"/>
      <c r="I8" s="321"/>
      <c r="J8" s="323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306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321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/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4" t="s">
        <v>232</v>
      </c>
      <c r="H56" s="315"/>
      <c r="I56" s="316" t="s">
        <v>317</v>
      </c>
      <c r="J56" s="317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7" t="s">
        <v>235</v>
      </c>
      <c r="H57" s="286"/>
      <c r="I57" s="282"/>
      <c r="J57" s="318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6" t="s">
        <v>238</v>
      </c>
      <c r="H58" s="280"/>
      <c r="I58" s="281" t="s">
        <v>311</v>
      </c>
      <c r="J58" s="283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7" t="s">
        <v>241</v>
      </c>
      <c r="H59" s="286"/>
      <c r="I59" s="282"/>
      <c r="J59" s="284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6" t="s">
        <v>244</v>
      </c>
      <c r="H60" s="280"/>
      <c r="I60" s="281" t="s">
        <v>311</v>
      </c>
      <c r="J60" s="283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7" t="s">
        <v>247</v>
      </c>
      <c r="H61" s="286"/>
      <c r="I61" s="282"/>
      <c r="J61" s="284"/>
      <c r="M61" s="164" t="e">
        <f>I60+I62+I64</f>
        <v>#VALUE!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9" t="s">
        <v>250</v>
      </c>
      <c r="H62" s="280"/>
      <c r="I62" s="302">
        <v>2.3740000000000001</v>
      </c>
      <c r="J62" s="304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5" t="s">
        <v>253</v>
      </c>
      <c r="H63" s="286"/>
      <c r="I63" s="303"/>
      <c r="J63" s="305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6" t="s">
        <v>256</v>
      </c>
      <c r="H64" s="280"/>
      <c r="I64" s="281" t="s">
        <v>318</v>
      </c>
      <c r="J64" s="283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7" t="s">
        <v>259</v>
      </c>
      <c r="H65" s="286"/>
      <c r="I65" s="282"/>
      <c r="J65" s="284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9" t="s">
        <v>262</v>
      </c>
      <c r="H66" s="280"/>
      <c r="I66" s="281" t="s">
        <v>319</v>
      </c>
      <c r="J66" s="283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5" t="s">
        <v>265</v>
      </c>
      <c r="H67" s="286"/>
      <c r="I67" s="282"/>
      <c r="J67" s="284"/>
    </row>
    <row r="68" spans="1:11" ht="5.25" customHeight="1" x14ac:dyDescent="0.3">
      <c r="B68" s="287"/>
      <c r="C68" s="288"/>
      <c r="D68" s="288"/>
      <c r="E68" s="288"/>
      <c r="F68" s="288"/>
      <c r="G68" s="288"/>
      <c r="H68" s="288"/>
      <c r="I68" s="288"/>
      <c r="J68" s="289"/>
    </row>
    <row r="69" spans="1:11" ht="21" x14ac:dyDescent="0.3">
      <c r="B69" s="290" t="s">
        <v>266</v>
      </c>
      <c r="C69" s="143" t="s">
        <v>267</v>
      </c>
      <c r="D69" s="294" t="s">
        <v>304</v>
      </c>
      <c r="E69" s="295"/>
      <c r="F69" s="144" t="s">
        <v>268</v>
      </c>
      <c r="G69" s="145" t="s">
        <v>269</v>
      </c>
      <c r="H69" s="298" t="s">
        <v>309</v>
      </c>
      <c r="I69" s="145" t="s">
        <v>270</v>
      </c>
      <c r="J69" s="300" t="s">
        <v>309</v>
      </c>
    </row>
    <row r="70" spans="1:11" ht="21.6" customHeight="1" x14ac:dyDescent="0.3">
      <c r="B70" s="291"/>
      <c r="C70" s="146" t="s">
        <v>271</v>
      </c>
      <c r="D70" s="296"/>
      <c r="E70" s="297"/>
      <c r="F70" s="147" t="s">
        <v>272</v>
      </c>
      <c r="G70" s="148" t="s">
        <v>273</v>
      </c>
      <c r="H70" s="299"/>
      <c r="I70" s="148" t="s">
        <v>274</v>
      </c>
      <c r="J70" s="301"/>
    </row>
    <row r="71" spans="1:11" ht="21" x14ac:dyDescent="0.3">
      <c r="B71" s="292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8" t="s">
        <v>308</v>
      </c>
      <c r="I71" s="145" t="s">
        <v>270</v>
      </c>
      <c r="J71" s="298" t="s">
        <v>308</v>
      </c>
    </row>
    <row r="72" spans="1:11" ht="42" customHeight="1" x14ac:dyDescent="0.3">
      <c r="B72" s="293"/>
      <c r="C72" s="151">
        <v>0.59027777777777779</v>
      </c>
      <c r="D72" s="151">
        <v>0.63194444444444442</v>
      </c>
      <c r="E72" s="152" t="s">
        <v>279</v>
      </c>
      <c r="F72" s="147" t="s">
        <v>280</v>
      </c>
      <c r="G72" s="153" t="s">
        <v>273</v>
      </c>
      <c r="H72" s="299"/>
      <c r="I72" s="153" t="s">
        <v>274</v>
      </c>
      <c r="J72" s="299"/>
    </row>
    <row r="73" spans="1:11" ht="21.6" customHeight="1" x14ac:dyDescent="0.3">
      <c r="B73" s="154" t="s">
        <v>281</v>
      </c>
      <c r="C73" s="263">
        <v>56</v>
      </c>
      <c r="D73" s="263">
        <v>55</v>
      </c>
      <c r="E73" s="265">
        <f>1-(D73/C73)</f>
        <v>1.7857142857142905E-2</v>
      </c>
      <c r="F73" s="267" t="s">
        <v>282</v>
      </c>
      <c r="G73" s="270"/>
      <c r="H73" s="271"/>
      <c r="I73" s="271"/>
      <c r="J73" s="272"/>
    </row>
    <row r="74" spans="1:11" ht="21.6" customHeight="1" x14ac:dyDescent="0.3">
      <c r="B74" s="155" t="s">
        <v>283</v>
      </c>
      <c r="C74" s="264"/>
      <c r="D74" s="264"/>
      <c r="E74" s="266"/>
      <c r="F74" s="268"/>
      <c r="G74" s="273"/>
      <c r="H74" s="274"/>
      <c r="I74" s="274"/>
      <c r="J74" s="275"/>
    </row>
    <row r="75" spans="1:11" ht="21.6" customHeight="1" x14ac:dyDescent="0.3">
      <c r="B75" s="154" t="s">
        <v>284</v>
      </c>
      <c r="C75" s="263">
        <v>58</v>
      </c>
      <c r="D75" s="263">
        <v>57</v>
      </c>
      <c r="E75" s="265">
        <f>1-(D75/C75)</f>
        <v>1.7241379310344862E-2</v>
      </c>
      <c r="F75" s="268"/>
      <c r="G75" s="273"/>
      <c r="H75" s="274"/>
      <c r="I75" s="274"/>
      <c r="J75" s="275"/>
    </row>
    <row r="76" spans="1:11" ht="21.6" customHeight="1" x14ac:dyDescent="0.3">
      <c r="B76" s="155" t="s">
        <v>285</v>
      </c>
      <c r="C76" s="264"/>
      <c r="D76" s="264"/>
      <c r="E76" s="266"/>
      <c r="F76" s="268"/>
      <c r="G76" s="273"/>
      <c r="H76" s="274"/>
      <c r="I76" s="274"/>
      <c r="J76" s="275"/>
    </row>
    <row r="77" spans="1:11" ht="21" customHeight="1" x14ac:dyDescent="0.3">
      <c r="B77" s="154" t="s">
        <v>286</v>
      </c>
      <c r="C77" s="251"/>
      <c r="D77" s="251"/>
      <c r="E77" s="253" t="e">
        <f>1-(D77/C77)</f>
        <v>#DIV/0!</v>
      </c>
      <c r="F77" s="268"/>
      <c r="G77" s="273"/>
      <c r="H77" s="274"/>
      <c r="I77" s="274"/>
      <c r="J77" s="275"/>
    </row>
    <row r="78" spans="1:11" ht="21" customHeight="1" x14ac:dyDescent="0.3">
      <c r="B78" s="155" t="s">
        <v>287</v>
      </c>
      <c r="C78" s="252"/>
      <c r="D78" s="252"/>
      <c r="E78" s="254"/>
      <c r="F78" s="269"/>
      <c r="G78" s="276"/>
      <c r="H78" s="277"/>
      <c r="I78" s="277"/>
      <c r="J78" s="278"/>
    </row>
    <row r="79" spans="1:11" s="96" customFormat="1" ht="21.6" customHeight="1" x14ac:dyDescent="0.3">
      <c r="A79" s="76"/>
      <c r="B79" s="154" t="s">
        <v>288</v>
      </c>
      <c r="C79" s="251"/>
      <c r="D79" s="251"/>
      <c r="E79" s="253" t="e">
        <f>1-(D79/C79)</f>
        <v>#DIV/0!</v>
      </c>
      <c r="F79" s="156" t="s">
        <v>289</v>
      </c>
      <c r="G79" s="255" t="s">
        <v>320</v>
      </c>
      <c r="H79" s="257"/>
      <c r="I79" s="258"/>
      <c r="J79" s="259"/>
      <c r="K79" s="76"/>
    </row>
    <row r="80" spans="1:11" ht="21" customHeight="1" x14ac:dyDescent="0.3">
      <c r="B80" s="155" t="s">
        <v>290</v>
      </c>
      <c r="C80" s="252"/>
      <c r="D80" s="252"/>
      <c r="E80" s="254"/>
      <c r="F80" s="157" t="s">
        <v>291</v>
      </c>
      <c r="G80" s="256"/>
      <c r="H80" s="260"/>
      <c r="I80" s="261"/>
      <c r="J80" s="262"/>
    </row>
    <row r="81" spans="1:11" ht="30" customHeight="1" x14ac:dyDescent="0.3">
      <c r="A81" s="96"/>
      <c r="B81" s="158" t="s">
        <v>292</v>
      </c>
      <c r="C81" s="245" t="s">
        <v>303</v>
      </c>
      <c r="D81" s="247"/>
      <c r="E81" s="159" t="s">
        <v>293</v>
      </c>
      <c r="F81" s="243">
        <v>45796</v>
      </c>
      <c r="G81" s="159" t="s">
        <v>294</v>
      </c>
      <c r="H81" s="245" t="s">
        <v>305</v>
      </c>
      <c r="I81" s="246"/>
      <c r="J81" s="247"/>
      <c r="K81" s="96"/>
    </row>
    <row r="82" spans="1:11" ht="28.2" customHeight="1" x14ac:dyDescent="0.3">
      <c r="B82" s="160" t="s">
        <v>295</v>
      </c>
      <c r="C82" s="248"/>
      <c r="D82" s="250"/>
      <c r="E82" s="161" t="s">
        <v>296</v>
      </c>
      <c r="F82" s="244"/>
      <c r="G82" s="161" t="s">
        <v>0</v>
      </c>
      <c r="H82" s="248"/>
      <c r="I82" s="249"/>
      <c r="J82" s="250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2025-05-21T14:08:17Z</cp:lastPrinted>
  <dcterms:created xsi:type="dcterms:W3CDTF">2001-08-01T17:12:05Z</dcterms:created>
  <dcterms:modified xsi:type="dcterms:W3CDTF">2025-05-21T14:08:27Z</dcterms:modified>
</cp:coreProperties>
</file>