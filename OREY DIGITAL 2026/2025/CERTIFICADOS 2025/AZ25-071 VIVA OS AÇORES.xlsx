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B14339D-A0B8-4BBE-90E4-1C636FF5447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C47" i="9" l="1"/>
  <c r="K47" i="9" s="1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<sst xmlns="http://schemas.openxmlformats.org/spreadsheetml/2006/main" count="372" uniqueCount="332">
  <si>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</si>
  <si>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</si>
  <si>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</si>
  <si>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</si>
  <si>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</si>
  <si>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</si>
  <si>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</si>
  <si>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</si>
  <si>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</si>
  <si>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</si>
  <si>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</si>
  <si>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</si>
  <si>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</si>
  <si>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</si>
  <si>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</si>
  <si>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</si>
  <si>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</si>
  <si>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</si>
  <si>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</si>
  <si>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</si>
  <si>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</si>
  <si>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</si>
  <si>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</si>
  <si>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</si>
  <si>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</si>
  <si>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</si>
  <si>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</si>
  <si>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</si>
  <si>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</si>
  <si>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</si>
  <si>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</si>
  <si>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</si>
  <si>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</si>
  <si>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</si>
  <si>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</si>
  <si>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</si>
  <si>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</si>
  <si>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</si>
  <si>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</si>
  <si>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</si>
  <si>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</si>
  <si>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</si>
  <si>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</si>
  <si>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</si>
  <si>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</si>
  <si>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</si>
  <si>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</si>
  <si>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</si>
  <si>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</si>
  <si>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</si>
  <si>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</si>
  <si>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</si>
  <si>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</si>
  <si>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</si>
  <si>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</si>
  <si>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</si>
  <si>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</si>
  <si>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</si>
  <si>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</si>
  <si>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</si>
  <si>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</si>
  <si>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</si>
  <si>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</si>
  <si>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</si>
  <si>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</si>
  <si>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</si>
  <si>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</si>
  <si>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</si>
  <si>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</si>
  <si>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</si>
  <si>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</si>
  <si>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</si>
  <si>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</si>
  <si>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</si>
  <si>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</si>
  <si>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</si>
  <si>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</si>
  <si>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</si>
  <si>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</si>
  <si>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</si>
  <si>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</si>
  <si>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</si>
  <si>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</si>
  <si>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</si>
  <si>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</si>
  <si>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</si>
  <si>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</si>
  <si>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</si>
  <si>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</si>
  <si>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</si>
  <si>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</si>
  <si>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</si>
  <si>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</si>
  <si>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</si>
  <si>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</si>
  <si>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</si>
  <si>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</si>
  <si>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</si>
  <si>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</si>
  <si>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</si>
  <si>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</si>
  <si>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</si>
  <si>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</si>
  <si>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</si>
  <si>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</si>
  <si>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</si>
  <si>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</si>
  <si>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</si>
  <si>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</si>
  <si>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</si>
  <si>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</si>
  <si>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</si>
  <si>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</si>
  <si>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</si>
  <si>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</si>
  <si>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</si>
  <si>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</si>
  <si>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</si>
  <si>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</si>
  <si>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</si>
  <si>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</si>
  <si>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</si>
  <si>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</si>
  <si>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</si>
  <si>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</si>
  <si>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</si>
  <si>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</si>
  <si>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</si>
  <si>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</si>
  <si>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</si>
  <si>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</si>
  <si>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</si>
  <si>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</si>
  <si>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</si>
  <si>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</si>
  <si>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</si>
  <si>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</si>
  <si>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</si>
  <si>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</si>
  <si>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</si>
  <si>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</si>
  <si>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</si>
  <si>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</si>
  <si>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</si>
  <si>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</si>
  <si>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</si>
  <si>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</si>
  <si>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</si>
  <si>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</si>
  <si>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</si>
  <si>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</si>
  <si>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</si>
  <si>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</si>
  <si>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</si>
  <si>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</si>
  <si>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</si>
  <si>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</si>
  <si>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</si>
  <si>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</si>
  <si>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</si>
  <si>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</si>
  <si>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</si>
  <si>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</si>
  <si>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</si>
  <si>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</si>
  <si>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</si>
  <si>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</si>
  <si>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</si>
  <si>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</si>
  <si>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</si>
  <si>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</si>
  <si>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</si>
  <si>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</si>
  <si>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</si>
  <si>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</si>
  <si>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</si>
  <si>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</si>
  <si>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</si>
  <si>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</si>
  <si>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</si>
  <si>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</si>
  <si>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</si>
  <si>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</si>
  <si>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</si>
  <si>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</si>
  <si>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</si>
  <si>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</si>
  <si>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</si>
  <si>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</si>
  <si>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</si>
  <si>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</si>
  <si>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</si>
  <si>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</si>
  <si>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</si>
  <si>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</si>
  <si>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</si>
  <si>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</si>
  <si>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</si>
  <si>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</si>
  <si>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</si>
  <si>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</si>
  <si>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</si>
  <si>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</si>
  <si>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</si>
  <si>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</si>
  <si>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</si>
  <si>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</si>
  <si>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</si>
  <si>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</si>
  <si>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</si>
  <si>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</si>
  <si>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</si>
  <si>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</si>
  <si>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</si>
  <si>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</si>
  <si>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</si>
  <si>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</si>
  <si>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</si>
  <si>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</si>
  <si>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</si>
  <si>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</si>
  <si>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</si>
  <si>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</si>
  <si>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</si>
  <si>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</si>
  <si>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</si>
  <si>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</si>
  <si>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</si>
  <si>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</si>
  <si>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</si>
  <si>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</si>
  <si>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</si>
  <si>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</si>
  <si>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</si>
  <si>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</si>
  <si>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</si>
  <si>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</si>
  <si>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</si>
  <si>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</si>
  <si>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</si>
  <si>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</si>
  <si>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</si>
  <si>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</si>
  <si>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</si>
  <si>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</si>
  <si>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</si>
  <si>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</si>
  <si>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</si>
  <si>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</si>
  <si>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</si>
  <si>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</si>
  <si>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</si>
  <si>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</si>
  <si>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</si>
  <si>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</si>
  <si>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</si>
  <si>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</si>
  <si>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</si>
  <si>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</si>
  <si>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</si>
  <si>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</si>
  <si>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</si>
  <si>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</si>
  <si>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</si>
  <si>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</si>
  <si>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</si>
  <si>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</si>
  <si>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</si>
  <si>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</si>
  <si>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</si>
  <si>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</si>
  <si>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</si>
  <si>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</si>
  <si>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</si>
  <si>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</si>
  <si>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</si>
  <si>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</si>
  <si>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</si>
  <si>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</si>
  <si>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</si>
  <si>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</si>
  <si>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</si>
  <si>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</si>
  <si>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</si>
  <si>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</si>
  <si>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</si>
  <si>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</si>
  <si>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</si>
  <si>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</si>
  <si>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</si>
  <si>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</si>
  <si>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</si>
  <si>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</si>
  <si>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</si>
  <si>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</si>
  <si>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</si>
  <si>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</si>
  <si>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</si>
  <si>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</si>
  <si>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</si>
  <si>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</si>
  <si>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</si>
  <si>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</si>
  <si>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</si>
  <si>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</si>
  <si>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</si>
  <si>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</si>
  <si>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</si>
  <si>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</si>
  <si>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17 Cº</t>
  </si>
  <si>
    <t>A10</t>
  </si>
  <si>
    <t>~(2)</t>
  </si>
  <si>
    <t>0,160</t>
  </si>
  <si>
    <t>GIST</t>
  </si>
  <si>
    <t>MIN</t>
  </si>
  <si>
    <t xml:space="preserve"> RFD SEASAVA PLUS</t>
  </si>
  <si>
    <t>16,053</t>
  </si>
  <si>
    <t>10,098</t>
  </si>
  <si>
    <t>501733300015</t>
  </si>
  <si>
    <t>VIVA OS AÇORES</t>
  </si>
  <si>
    <t>38867</t>
  </si>
  <si>
    <t>HERMANO CABRAL ANDRADE</t>
  </si>
  <si>
    <t>08/2006</t>
  </si>
  <si>
    <t>YES</t>
  </si>
  <si>
    <t>06/16</t>
  </si>
  <si>
    <t>1018 Hpa</t>
  </si>
  <si>
    <t>PORTUGAL</t>
  </si>
  <si>
    <t>05/27</t>
  </si>
  <si>
    <t xml:space="preserve"> 09/27</t>
  </si>
  <si>
    <t>AZ25-071</t>
  </si>
  <si>
    <t>04/25</t>
  </si>
  <si>
    <t xml:space="preserve">inH2O [x ] inHg [   ] mbar []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</si>
</sst>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42" workbookViewId="0">
      <selection activeCell="J42" sqref="J42:J43"/>
    </sheetView>
  </sheetViews>
  <sheetFormatPr defaultRowHeight="13.2" x14ac:dyDescent="0.25"/>
  <cols>
    <col min="3" max="6" width="6.77734375" customWidth="1"/>
    <col min="7" max="11" width="12.6640625" customWidth="1"/>
    <col min="12" max="12" width="14.109375" customWidth="1"/>
    <col min="13" max="13" width="3.2187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">
        <v>329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 RFD SEASAVA PLUS</v>
      </c>
      <c r="D12" s="139"/>
      <c r="E12" s="217"/>
      <c r="F12" s="140"/>
      <c r="G12" s="138">
        <f>QUADRO!J7</f>
        <v>8</v>
      </c>
      <c r="H12" s="140"/>
      <c r="I12" s="200" t="str">
        <f>QUADRO!C7</f>
        <v>501733300015</v>
      </c>
      <c r="J12" s="201"/>
      <c r="K12" s="211" t="s">
        <v>322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38867</v>
      </c>
      <c r="D19" s="171"/>
      <c r="E19" s="171"/>
      <c r="F19" s="172"/>
      <c r="G19" s="208">
        <f>QUADRO!I62</f>
        <v>2.5</v>
      </c>
      <c r="H19" s="208"/>
      <c r="I19" s="208" t="str">
        <f>QUADRO!I64</f>
        <v>0,160</v>
      </c>
      <c r="J19" s="208"/>
      <c r="K19" s="209" t="str">
        <f>QUADRO!I66</f>
        <v>06/16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MIN</v>
      </c>
      <c r="H26" s="169"/>
      <c r="I26" s="198" t="str">
        <f>QUADRO!C7</f>
        <v>501733300015</v>
      </c>
      <c r="J26" s="199"/>
      <c r="K26" s="202">
        <f>QUADRO!F81+366</f>
        <v>46116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300</v>
      </c>
      <c r="H34" s="191"/>
      <c r="I34" s="190" t="s">
        <v>299</v>
      </c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323</v>
      </c>
      <c r="F40" s="148"/>
      <c r="G40" s="35" t="s">
        <v>52</v>
      </c>
      <c r="H40" s="166" t="s">
        <v>303</v>
      </c>
      <c r="I40" s="35" t="s">
        <v>73</v>
      </c>
      <c r="J40" s="166" t="s">
        <v>323</v>
      </c>
      <c r="K40" s="35" t="s">
        <v>52</v>
      </c>
      <c r="L40" s="166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330</v>
      </c>
      <c r="F42" s="169"/>
      <c r="G42" s="35" t="s">
        <v>54</v>
      </c>
      <c r="H42" s="167"/>
      <c r="I42" s="35" t="s">
        <v>54</v>
      </c>
      <c r="J42" s="167" t="s">
        <v>330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45750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46115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326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VIVA OS AÇORES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321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308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S72" sqref="S72"/>
    </sheetView>
  </sheetViews>
  <sheetFormatPr defaultColWidth="9.218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21875" style="55"/>
    <col min="13" max="13" width="12.44140625" style="55" customWidth="1"/>
    <col min="14" max="16384" width="9.218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329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318</v>
      </c>
      <c r="D7" s="59" t="s">
        <v>95</v>
      </c>
      <c r="E7" s="289" t="s">
        <v>319</v>
      </c>
      <c r="F7" s="290"/>
      <c r="G7" s="60" t="s">
        <v>96</v>
      </c>
      <c r="H7" s="289" t="s">
        <v>315</v>
      </c>
      <c r="I7" s="298"/>
      <c r="J7" s="301">
        <v>8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327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328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310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305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314</v>
      </c>
      <c r="G47" s="61"/>
      <c r="H47" s="81"/>
      <c r="I47" s="105"/>
      <c r="J47" s="106" t="s">
        <v>330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/>
    </row>
    <row r="49" spans="1:13" ht="23.4" customHeight="1" x14ac:dyDescent="0.4">
      <c r="B49" s="61" t="s">
        <v>214</v>
      </c>
      <c r="C49" s="83" t="s">
        <v>313</v>
      </c>
      <c r="D49" s="61" t="s">
        <v>215</v>
      </c>
      <c r="E49" s="81"/>
      <c r="F49" s="80"/>
      <c r="G49" s="61"/>
      <c r="H49" s="109"/>
      <c r="I49" s="105"/>
      <c r="J49" s="106" t="s">
        <v>330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320</v>
      </c>
      <c r="J56" s="296"/>
    </row>
    <row r="57" spans="1:13" ht="23.4" customHeight="1" x14ac:dyDescent="0.4">
      <c r="B57" s="99" t="s">
        <v>235</v>
      </c>
      <c r="C57" s="114"/>
      <c r="D57" s="61" t="s">
        <v>326</v>
      </c>
      <c r="E57" s="81"/>
      <c r="F57" s="80"/>
      <c r="G57" s="286" t="s">
        <v>236</v>
      </c>
      <c r="H57" s="265"/>
      <c r="I57" s="261"/>
      <c r="J57" s="297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85" t="s">
        <v>239</v>
      </c>
      <c r="H58" s="259"/>
      <c r="I58" s="260" t="s">
        <v>316</v>
      </c>
      <c r="J58" s="262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86" t="s">
        <v>242</v>
      </c>
      <c r="H59" s="265"/>
      <c r="I59" s="261"/>
      <c r="J59" s="263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85" t="s">
        <v>245</v>
      </c>
      <c r="H60" s="259"/>
      <c r="I60" s="260" t="s">
        <v>317</v>
      </c>
      <c r="J60" s="262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86" t="s">
        <v>248</v>
      </c>
      <c r="H61" s="265"/>
      <c r="I61" s="261"/>
      <c r="J61" s="263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8" t="s">
        <v>251</v>
      </c>
      <c r="H62" s="259"/>
      <c r="I62" s="281">
        <v>2.5</v>
      </c>
      <c r="J62" s="283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64" t="s">
        <v>254</v>
      </c>
      <c r="H63" s="265"/>
      <c r="I63" s="282"/>
      <c r="J63" s="284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85" t="s">
        <v>257</v>
      </c>
      <c r="H64" s="259"/>
      <c r="I64" s="260" t="s">
        <v>312</v>
      </c>
      <c r="J64" s="262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86" t="s">
        <v>260</v>
      </c>
      <c r="H65" s="265"/>
      <c r="I65" s="261"/>
      <c r="J65" s="263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8" t="s">
        <v>263</v>
      </c>
      <c r="H66" s="259"/>
      <c r="I66" s="260" t="s">
        <v>324</v>
      </c>
      <c r="J66" s="262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64" t="s">
        <v>266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267</v>
      </c>
      <c r="C69" s="117" t="s">
        <v>268</v>
      </c>
      <c r="D69" s="273" t="s">
        <v>331</v>
      </c>
      <c r="E69" s="274"/>
      <c r="F69" s="118" t="s">
        <v>269</v>
      </c>
      <c r="G69" s="119" t="s">
        <v>270</v>
      </c>
      <c r="H69" s="277" t="s">
        <v>309</v>
      </c>
      <c r="I69" s="119" t="s">
        <v>271</v>
      </c>
      <c r="J69" s="279" t="s">
        <v>309</v>
      </c>
    </row>
    <row r="70" spans="1:11" ht="21.6" customHeight="1" x14ac:dyDescent="0.3">
      <c r="B70" s="270"/>
      <c r="C70" s="120" t="s">
        <v>272</v>
      </c>
      <c r="D70" s="275"/>
      <c r="E70" s="276"/>
      <c r="F70" s="121" t="s">
        <v>273</v>
      </c>
      <c r="G70" s="122" t="s">
        <v>274</v>
      </c>
      <c r="H70" s="278"/>
      <c r="I70" s="122" t="s">
        <v>275</v>
      </c>
      <c r="J70" s="280"/>
    </row>
    <row r="71" spans="1:11" ht="21" x14ac:dyDescent="0.3">
      <c r="B71" s="271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77" t="s">
        <v>325</v>
      </c>
      <c r="I71" s="119" t="s">
        <v>271</v>
      </c>
      <c r="J71" s="277" t="s">
        <v>325</v>
      </c>
    </row>
    <row r="72" spans="1:11" ht="42" customHeight="1" x14ac:dyDescent="0.3">
      <c r="B72" s="272"/>
      <c r="C72" s="125">
        <v>0.39583333333333331</v>
      </c>
      <c r="D72" s="125">
        <v>0.4375</v>
      </c>
      <c r="E72" s="126" t="s">
        <v>280</v>
      </c>
      <c r="F72" s="121" t="s">
        <v>281</v>
      </c>
      <c r="G72" s="127" t="s">
        <v>274</v>
      </c>
      <c r="H72" s="278"/>
      <c r="I72" s="127" t="s">
        <v>275</v>
      </c>
      <c r="J72" s="278"/>
    </row>
    <row r="73" spans="1:11" ht="21.6" customHeight="1" x14ac:dyDescent="0.3">
      <c r="B73" s="128" t="s">
        <v>282</v>
      </c>
      <c r="C73" s="242">
        <v>87.7</v>
      </c>
      <c r="D73" s="242">
        <v>85.9</v>
      </c>
      <c r="E73" s="244">
        <f>1-(D73/C73)</f>
        <v>2.0524515393386511E-2</v>
      </c>
      <c r="F73" s="246" t="s">
        <v>283</v>
      </c>
      <c r="G73" s="249"/>
      <c r="H73" s="250"/>
      <c r="I73" s="250"/>
      <c r="J73" s="251"/>
    </row>
    <row r="74" spans="1:11" ht="21.6" customHeight="1" x14ac:dyDescent="0.3">
      <c r="B74" s="129" t="s">
        <v>284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8" t="s">
        <v>285</v>
      </c>
      <c r="C75" s="242">
        <v>89.5</v>
      </c>
      <c r="D75" s="242">
        <v>87.6</v>
      </c>
      <c r="E75" s="244">
        <f>1-(D75/C75)</f>
        <v>2.1229050279329642E-2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286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8" t="s">
        <v>287</v>
      </c>
      <c r="C77" s="230"/>
      <c r="D77" s="230"/>
      <c r="E77" s="232" t="s">
        <v>307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288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289</v>
      </c>
      <c r="C79" s="230"/>
      <c r="D79" s="230"/>
      <c r="E79" s="232" t="s">
        <v>1</v>
      </c>
      <c r="F79" s="130" t="s">
        <v>290</v>
      </c>
      <c r="G79" s="234" t="s">
        <v>322</v>
      </c>
      <c r="H79" s="236"/>
      <c r="I79" s="237"/>
      <c r="J79" s="238"/>
      <c r="K79" s="55"/>
    </row>
    <row r="80" spans="1:11" ht="21" customHeight="1" x14ac:dyDescent="0.3">
      <c r="B80" s="129" t="s">
        <v>291</v>
      </c>
      <c r="C80" s="231"/>
      <c r="D80" s="231"/>
      <c r="E80" s="233"/>
      <c r="F80" s="131" t="s">
        <v>292</v>
      </c>
      <c r="G80" s="235"/>
      <c r="H80" s="239"/>
      <c r="I80" s="240"/>
      <c r="J80" s="241"/>
    </row>
    <row r="81" spans="1:11" ht="30" customHeight="1" x14ac:dyDescent="0.3">
      <c r="A81" s="74"/>
      <c r="B81" s="132" t="s">
        <v>293</v>
      </c>
      <c r="C81" s="224" t="s">
        <v>306</v>
      </c>
      <c r="D81" s="226"/>
      <c r="E81" s="133" t="s">
        <v>294</v>
      </c>
      <c r="F81" s="222">
        <v>45750</v>
      </c>
      <c r="G81" s="133" t="s">
        <v>295</v>
      </c>
      <c r="H81" s="224"/>
      <c r="I81" s="225"/>
      <c r="J81" s="226"/>
      <c r="K81" s="74"/>
    </row>
    <row r="82" spans="1:11" ht="28.2" customHeight="1" x14ac:dyDescent="0.3">
      <c r="B82" s="134" t="s">
        <v>296</v>
      </c>
      <c r="C82" s="227"/>
      <c r="D82" s="229"/>
      <c r="E82" s="135" t="s">
        <v>297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2025-04-04T15:03:44Z</cp:lastPrinted>
  <dcterms:created xsi:type="dcterms:W3CDTF">2001-08-01T17:12:05Z</dcterms:created>
  <dcterms:modified xsi:type="dcterms:W3CDTF">2025-04-04T15:03:47Z</dcterms:modified>
</cp:coreProperties>
</file>