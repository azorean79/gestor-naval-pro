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8_{3FF39DBF-5F22-460C-BF59-6C72E526D5BB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<sst xmlns="http://schemas.openxmlformats.org/spreadsheetml/2006/main" count="358" uniqueCount="325">
  <si>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</si>
  <si>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</si>
  <si>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</si>
  <si>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</si>
  <si>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</si>
  <si>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</si>
  <si>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</si>
  <si>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</si>
  <si>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</si>
  <si>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</si>
  <si>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</si>
  <si>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</si>
  <si>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</si>
  <si>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</si>
  <si>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</si>
  <si>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</si>
  <si>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</si>
  <si>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</si>
  <si>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</si>
  <si>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</si>
  <si>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</si>
  <si>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</si>
  <si>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</si>
  <si>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</si>
  <si>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</si>
  <si>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</si>
  <si>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</si>
  <si>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</si>
  <si>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</si>
  <si>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</si>
  <si>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</si>
  <si>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</si>
  <si>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</si>
  <si>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</si>
  <si>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</si>
  <si>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</si>
  <si>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</si>
  <si>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</si>
  <si>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</si>
  <si>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</si>
  <si>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</si>
  <si>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</si>
  <si>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</si>
  <si>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</si>
  <si>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</si>
  <si>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</si>
  <si>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</si>
  <si>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</si>
  <si>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</si>
  <si>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</si>
  <si>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</si>
  <si>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</si>
  <si>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</si>
  <si>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</si>
  <si>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</si>
  <si>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</si>
  <si>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</si>
  <si>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</si>
  <si>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</si>
  <si>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</si>
  <si>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</si>
  <si>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</si>
  <si>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</si>
  <si>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</si>
  <si>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</si>
  <si>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</si>
  <si>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</si>
  <si>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</si>
  <si>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</si>
  <si>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</si>
  <si>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</si>
  <si>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</si>
  <si>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</si>
  <si>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</si>
  <si>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</si>
  <si>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</si>
  <si>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</si>
  <si>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</si>
  <si>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</si>
  <si>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</si>
  <si>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</si>
  <si>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</si>
  <si>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</si>
  <si>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</si>
  <si>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</si>
  <si>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</si>
  <si>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</si>
  <si>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</si>
  <si>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</si>
  <si>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</si>
  <si>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</si>
  <si>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</si>
  <si>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</si>
  <si>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</si>
  <si>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</si>
  <si>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</si>
  <si>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</si>
  <si>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</si>
  <si>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</si>
  <si>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</si>
  <si>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</si>
  <si>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</si>
  <si>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</si>
  <si>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</si>
  <si>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</si>
  <si>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</si>
  <si>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</si>
  <si>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</si>
  <si>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</si>
  <si>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</si>
  <si>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</si>
  <si>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</si>
  <si>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</si>
  <si>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</si>
  <si>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</si>
  <si>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</si>
  <si>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</si>
  <si>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</si>
  <si>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</si>
  <si>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</si>
  <si>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</si>
  <si>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</si>
  <si>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</si>
  <si>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</si>
  <si>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</si>
  <si>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</si>
  <si>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</si>
  <si>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</si>
  <si>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</si>
  <si>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</si>
  <si>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</si>
  <si>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</si>
  <si>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</si>
  <si>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</si>
  <si>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</si>
  <si>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</si>
  <si>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</si>
  <si>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</si>
  <si>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</si>
  <si>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</si>
  <si>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</si>
  <si>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</si>
  <si>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</si>
  <si>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</si>
  <si>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</si>
  <si>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</si>
  <si>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</si>
  <si>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</si>
  <si>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</si>
  <si>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</si>
  <si>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</si>
  <si>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</si>
  <si>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</si>
  <si>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</si>
  <si>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</si>
  <si>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</si>
  <si>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</si>
  <si>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</si>
  <si>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</si>
  <si>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</si>
  <si>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</si>
  <si>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</si>
  <si>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</si>
  <si>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</si>
  <si>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</si>
  <si>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</si>
  <si>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</si>
  <si>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</si>
  <si>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</si>
  <si>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</si>
  <si>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</si>
  <si>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</si>
  <si>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</si>
  <si>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</si>
  <si>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</si>
  <si>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</si>
  <si>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</si>
  <si>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</si>
  <si>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</si>
  <si>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</si>
  <si>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</si>
  <si>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</si>
  <si>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</si>
  <si>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</si>
  <si>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</si>
  <si>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</si>
  <si>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</si>
  <si>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</si>
  <si>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</si>
  <si>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</si>
  <si>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</si>
  <si>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</si>
  <si>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</si>
  <si>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</si>
  <si>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</si>
  <si>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</si>
  <si>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</si>
  <si>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</si>
  <si>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</si>
  <si>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</si>
  <si>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</si>
  <si>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</si>
  <si>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</si>
  <si>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</si>
  <si>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</si>
  <si>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</si>
  <si>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</si>
  <si>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</si>
  <si>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</si>
  <si>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</si>
  <si>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</si>
  <si>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</si>
  <si>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</si>
  <si>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</si>
  <si>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</si>
  <si>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</si>
  <si>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</si>
  <si>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</si>
  <si>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</si>
  <si>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</si>
  <si>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</si>
  <si>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</si>
  <si>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</si>
  <si>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</si>
  <si>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</si>
  <si>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</si>
  <si>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</si>
  <si>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</si>
  <si>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</si>
  <si>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</si>
  <si>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</si>
  <si>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</si>
  <si>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</si>
  <si>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</si>
  <si>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</si>
  <si>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</si>
  <si>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</si>
  <si>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</si>
  <si>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</si>
  <si>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</si>
  <si>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</si>
  <si>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</si>
  <si>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</si>
  <si>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</si>
  <si>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</si>
  <si>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</si>
  <si>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</si>
  <si>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</si>
  <si>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</si>
  <si>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</si>
  <si>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</si>
  <si>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</si>
  <si>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</si>
  <si>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</si>
  <si>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</si>
  <si>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</si>
  <si>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</si>
  <si>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</si>
  <si>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</si>
  <si>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</si>
  <si>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</si>
  <si>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</si>
  <si>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</si>
  <si>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</si>
  <si>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</si>
  <si>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</si>
  <si>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</si>
  <si>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</si>
  <si>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</si>
  <si>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</si>
  <si>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</si>
  <si>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</si>
  <si>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</si>
  <si>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</si>
  <si>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</si>
  <si>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</si>
  <si>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</si>
  <si>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</si>
  <si>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</si>
  <si>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</si>
  <si>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</si>
  <si>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</si>
  <si>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</si>
  <si>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</si>
  <si>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</si>
  <si>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</si>
  <si>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</si>
  <si>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</si>
  <si>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</si>
  <si>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</si>
  <si>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</si>
  <si>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</si>
  <si>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</si>
  <si>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</si>
  <si>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</si>
  <si>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</si>
  <si>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</si>
  <si>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</si>
  <si>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</si>
  <si>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</si>
  <si>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</si>
  <si>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</si>
  <si>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</si>
  <si>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</si>
  <si>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</si>
  <si>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</si>
  <si>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</si>
  <si>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</si>
  <si>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</si>
  <si>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7,050</t>
  </si>
  <si>
    <t>SEA-SAFE</t>
  </si>
  <si>
    <t>&lt; 24H</t>
  </si>
  <si>
    <t>17 Cº</t>
  </si>
  <si>
    <t>11,130</t>
  </si>
  <si>
    <t>08/18</t>
  </si>
  <si>
    <t>DK99S</t>
  </si>
  <si>
    <t>PLF-10-F0433</t>
  </si>
  <si>
    <t>02/2019</t>
  </si>
  <si>
    <t>0,200</t>
  </si>
  <si>
    <t>C65097</t>
  </si>
  <si>
    <t>1005 Hpa</t>
  </si>
  <si>
    <t>AZ25-117</t>
  </si>
  <si>
    <t>PORTUGAL</t>
  </si>
  <si>
    <t>OCEAN CAY</t>
  </si>
  <si>
    <t>DIOGO FALCÃO DA CRUZ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</si>
</sst>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41" workbookViewId="0">
      <selection activeCell="T61" sqref="T6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AZ25-117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SEA-SAFE</v>
      </c>
      <c r="D12" s="184"/>
      <c r="E12" s="185"/>
      <c r="F12" s="174"/>
      <c r="G12" s="175">
        <f>QUADRO!J7</f>
        <v>10</v>
      </c>
      <c r="H12" s="174"/>
      <c r="I12" s="187" t="str">
        <f>QUADRO!C7</f>
        <v>PLF-10-F0433</v>
      </c>
      <c r="J12" s="188"/>
      <c r="K12" s="173" t="str">
        <f>QUADRO!G79</f>
        <v>02/2019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C65097</v>
      </c>
      <c r="D19" s="208"/>
      <c r="E19" s="208"/>
      <c r="F19" s="209"/>
      <c r="G19" s="190">
        <f>QUADRO!I62</f>
        <v>3.2</v>
      </c>
      <c r="H19" s="190"/>
      <c r="I19" s="190" t="str">
        <f>QUADRO!I64</f>
        <v>0,200</v>
      </c>
      <c r="J19" s="190"/>
      <c r="K19" s="191" t="str">
        <f>QUADRO!I66</f>
        <v>08/18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PLF-10-F0433</v>
      </c>
      <c r="J26" s="202"/>
      <c r="K26" s="203">
        <f>QUADRO!F81+366+365+365</f>
        <v>46896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45800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46896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322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OCEAN CAY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324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321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316</v>
      </c>
      <c r="D7" s="80" t="s">
        <v>93</v>
      </c>
      <c r="E7" s="256" t="s">
        <v>323</v>
      </c>
      <c r="F7" s="257"/>
      <c r="G7" s="81" t="s">
        <v>94</v>
      </c>
      <c r="H7" s="256" t="s">
        <v>310</v>
      </c>
      <c r="I7" s="268"/>
      <c r="J7" s="271">
        <v>10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315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319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313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309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10.45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3.2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318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314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312</v>
      </c>
      <c r="I69" s="145" t="s">
        <v>270</v>
      </c>
      <c r="J69" s="294" t="s">
        <v>312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320</v>
      </c>
      <c r="I71" s="145" t="s">
        <v>270</v>
      </c>
      <c r="J71" s="292" t="s">
        <v>320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144</v>
      </c>
      <c r="D73" s="299">
        <v>138</v>
      </c>
      <c r="E73" s="301">
        <f>1-(D73/C73)</f>
        <v>4.166666666666663E-2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160</v>
      </c>
      <c r="D75" s="299">
        <v>153</v>
      </c>
      <c r="E75" s="301">
        <f>1-(D75/C75)</f>
        <v>4.3749999999999956E-2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317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45800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2025-05-27T14:42:59Z</cp:lastPrinted>
  <dcterms:created xsi:type="dcterms:W3CDTF">2001-08-01T17:12:05Z</dcterms:created>
  <dcterms:modified xsi:type="dcterms:W3CDTF">2025-06-03T12:26:04Z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