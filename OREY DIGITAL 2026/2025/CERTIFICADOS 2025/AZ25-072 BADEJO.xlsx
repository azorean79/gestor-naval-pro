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EF5B134F-028A-4FE4-BCF0-D0FC0D12B6C6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K34" i="9"/>
  <c r="G12" i="9" l="1"/>
  <c r="G47" i="9" l="1"/>
  <c r="K3" i="9"/>
  <c r="L42" i="9"/>
  <c r="K12" i="9"/>
  <c r="C12" i="9"/>
  <c r="I26" i="9"/>
  <c r="D63" i="9"/>
  <c r="K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<sst xmlns="http://schemas.openxmlformats.org/spreadsheetml/2006/main" count="372" uniqueCount="334">
  <si>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</si>
  <si>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</si>
  <si>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</si>
  <si>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</si>
  <si>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</si>
  <si>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</si>
  <si>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</si>
  <si>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</si>
  <si>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</si>
  <si>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</si>
  <si>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</si>
  <si>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</si>
  <si>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</si>
  <si>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</si>
  <si>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</si>
  <si>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</si>
  <si>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</si>
  <si>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</si>
  <si>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</si>
  <si>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</si>
  <si>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</si>
  <si>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</si>
  <si>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</si>
  <si>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</si>
  <si>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</si>
  <si>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</si>
  <si>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</si>
  <si>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</si>
  <si>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</si>
  <si>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</si>
  <si>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</si>
  <si>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</si>
  <si>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</si>
  <si>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</si>
  <si>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</si>
  <si>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</si>
  <si>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</si>
  <si>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</si>
  <si>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</si>
  <si>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</si>
  <si>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</si>
  <si>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</si>
  <si>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</si>
  <si>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</si>
  <si>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</si>
  <si>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</si>
  <si>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</si>
  <si>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</si>
  <si>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</si>
  <si>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</si>
  <si>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</si>
  <si>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</si>
  <si>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</si>
  <si>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</si>
  <si>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</si>
  <si>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</si>
  <si>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</si>
  <si>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</si>
  <si>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</si>
  <si>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</si>
  <si>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</si>
  <si>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</si>
  <si>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</si>
  <si>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</si>
  <si>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</si>
  <si>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</si>
  <si>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</si>
  <si>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</si>
  <si>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</si>
  <si>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</si>
  <si>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</si>
  <si>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</si>
  <si>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</si>
  <si>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</si>
  <si>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</si>
  <si>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</si>
  <si>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</si>
  <si>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</si>
  <si>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</si>
  <si>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</si>
  <si>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</si>
  <si>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</si>
  <si>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</si>
  <si>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</si>
  <si>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</si>
  <si>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</si>
  <si>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</si>
  <si>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</si>
  <si>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</si>
  <si>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</si>
  <si>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</si>
  <si>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</si>
  <si>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</si>
  <si>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</si>
  <si>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</si>
  <si>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</si>
  <si>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</si>
  <si>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</si>
  <si>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</si>
  <si>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</si>
  <si>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</si>
  <si>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</si>
  <si>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</si>
  <si>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</si>
  <si>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</si>
  <si>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</si>
  <si>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</si>
  <si>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</si>
  <si>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</si>
  <si>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</si>
  <si>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</si>
  <si>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</si>
  <si>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</si>
  <si>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</si>
  <si>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</si>
  <si>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</si>
  <si>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</si>
  <si>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</si>
  <si>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</si>
  <si>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</si>
  <si>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</si>
  <si>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</si>
  <si>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</si>
  <si>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</si>
  <si>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</si>
  <si>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</si>
  <si>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</si>
  <si>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</si>
  <si>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</si>
  <si>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</si>
  <si>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</si>
  <si>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</si>
  <si>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</si>
  <si>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</si>
  <si>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</si>
  <si>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</si>
  <si>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</si>
  <si>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</si>
  <si>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</si>
  <si>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</si>
  <si>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</si>
  <si>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</si>
  <si>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</si>
  <si>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</si>
  <si>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</si>
  <si>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</si>
  <si>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</si>
  <si>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</si>
  <si>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</si>
  <si>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</si>
  <si>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</si>
  <si>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</si>
  <si>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</si>
  <si>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</si>
  <si>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</si>
  <si>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</si>
  <si>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</si>
  <si>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</si>
  <si>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</si>
  <si>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</si>
  <si>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</si>
  <si>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</si>
  <si>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</si>
  <si>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</si>
  <si>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</si>
  <si>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</si>
  <si>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</si>
  <si>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</si>
  <si>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</si>
  <si>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</si>
  <si>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</si>
  <si>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</si>
  <si>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</si>
  <si>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</si>
  <si>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</si>
  <si>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</si>
  <si>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</si>
  <si>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</si>
  <si>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</si>
  <si>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</si>
  <si>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</si>
  <si>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</si>
  <si>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</si>
  <si>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</si>
  <si>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</si>
  <si>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</si>
  <si>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</si>
  <si>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</si>
  <si>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</si>
  <si>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</si>
  <si>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</si>
  <si>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</si>
  <si>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</si>
  <si>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</si>
  <si>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</si>
  <si>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</si>
  <si>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</si>
  <si>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</si>
  <si>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</si>
  <si>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</si>
  <si>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</si>
  <si>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</si>
  <si>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</si>
  <si>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</si>
  <si>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</si>
  <si>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</si>
  <si>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</si>
  <si>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</si>
  <si>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</si>
  <si>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</si>
  <si>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</si>
  <si>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</si>
  <si>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</si>
  <si>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</si>
  <si>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</si>
  <si>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</si>
  <si>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</si>
  <si>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</si>
  <si>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</si>
  <si>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</si>
  <si>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</si>
  <si>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</si>
  <si>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</si>
  <si>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</si>
  <si>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</si>
  <si>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</si>
  <si>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</si>
  <si>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</si>
  <si>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</si>
  <si>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</si>
  <si>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</si>
  <si>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</si>
  <si>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</si>
  <si>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</si>
  <si>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</si>
  <si>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</si>
  <si>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</si>
  <si>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</si>
  <si>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</si>
  <si>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</si>
  <si>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</si>
  <si>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</si>
  <si>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</si>
  <si>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</si>
  <si>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</si>
  <si>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</si>
  <si>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</si>
  <si>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</si>
  <si>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</si>
  <si>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</si>
  <si>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</si>
  <si>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</si>
  <si>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</si>
  <si>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</si>
  <si>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</si>
  <si>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</si>
  <si>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</si>
  <si>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</si>
  <si>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</si>
  <si>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</si>
  <si>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</si>
  <si>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</si>
  <si>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</si>
  <si>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</si>
  <si>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</si>
  <si>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</si>
  <si>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</si>
  <si>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</si>
  <si>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</si>
  <si>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</si>
  <si>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</si>
  <si>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</si>
  <si>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</si>
  <si>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</si>
  <si>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</si>
  <si>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</si>
  <si>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</si>
  <si>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</si>
  <si>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</si>
  <si>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</si>
  <si>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</si>
  <si>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</si>
  <si>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</si>
  <si>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</si>
  <si>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</si>
  <si>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</si>
  <si>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</si>
  <si>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</si>
  <si>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</si>
  <si>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</si>
  <si>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</si>
  <si>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</si>
  <si>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</si>
  <si>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</si>
  <si>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</si>
  <si>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</si>
  <si>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</si>
  <si>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</si>
  <si>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</si>
  <si>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</si>
  <si>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</si>
  <si>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</si>
  <si>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</si>
  <si>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</si>
  <si>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</si>
  <si>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</si>
  <si>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</si>
  <si>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</si>
  <si>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</si>
  <si>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GIST</t>
  </si>
  <si>
    <t>0,160</t>
  </si>
  <si>
    <t>BADEJO</t>
  </si>
  <si>
    <t>5017330300017</t>
  </si>
  <si>
    <t>A10</t>
  </si>
  <si>
    <t>08/2006</t>
  </si>
  <si>
    <t>YES</t>
  </si>
  <si>
    <t>JOSÉ FRANCISCO MELO VIEIRA</t>
  </si>
  <si>
    <t>MIN</t>
  </si>
  <si>
    <t>PORTUGAL</t>
  </si>
  <si>
    <t>17 Cº</t>
  </si>
  <si>
    <t>06/2028</t>
  </si>
  <si>
    <t>689958</t>
  </si>
  <si>
    <t>10,670</t>
  </si>
  <si>
    <t>8,035</t>
  </si>
  <si>
    <t>03/2025</t>
  </si>
  <si>
    <t>08/2027</t>
  </si>
  <si>
    <t>05/2027</t>
  </si>
  <si>
    <t>03/24</t>
  </si>
  <si>
    <t>m/outside</t>
  </si>
  <si>
    <t>AZ25-072</t>
  </si>
  <si>
    <t>08/2028</t>
  </si>
  <si>
    <t xml:space="preserve"> M1 04/2026</t>
  </si>
  <si>
    <t>04/25</t>
  </si>
  <si>
    <t>1005 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</si>
</sst>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0" fillId="0" borderId="0" xfId="0" applyNumberFormat="1"/>
    <xf numFmtId="17" fontId="30" fillId="0" borderId="6" xfId="0" applyNumberFormat="1" applyFont="1" applyBorder="1" applyAlignment="1">
      <alignment horizontal="left" vertical="top"/>
    </xf>
    <xf numFmtId="17" fontId="30" fillId="0" borderId="7" xfId="0" applyNumberFormat="1" applyFont="1" applyBorder="1" applyAlignment="1">
      <alignment horizontal="center" vertical="center"/>
    </xf>
    <xf numFmtId="17" fontId="6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7" fontId="2" fillId="0" borderId="2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49" fontId="31" fillId="3" borderId="8" xfId="1" applyNumberFormat="1" applyFont="1" applyFill="1" applyBorder="1" applyAlignment="1" applyProtection="1">
      <alignment horizontal="right" vertical="center"/>
      <protection locked="0"/>
    </xf>
    <xf numFmtId="0" fontId="32" fillId="0" borderId="5" xfId="0" applyFont="1" applyBorder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54</xdr:row>
      <xdr:rowOff>77416</xdr:rowOff>
    </xdr:from>
    <xdr:to>
      <xdr:col>20</xdr:col>
      <xdr:colOff>363745</xdr:colOff>
      <xdr:row>65</xdr:row>
      <xdr:rowOff>28575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725025" y="8773741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opLeftCell="A37" workbookViewId="0">
      <selection activeCell="I14" sqref="I1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9" t="s">
        <v>73</v>
      </c>
      <c r="J3" s="159"/>
      <c r="K3" s="156" t="str">
        <f>QUADRO!I5</f>
        <v>AZ25-072</v>
      </c>
      <c r="L3" s="157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4" t="s">
        <v>74</v>
      </c>
      <c r="J4" s="144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 t="s">
        <v>329</v>
      </c>
      <c r="J5" s="4"/>
      <c r="K5" s="4"/>
      <c r="L5" s="4"/>
      <c r="M5" s="1"/>
    </row>
    <row r="6" spans="1:13" ht="21" customHeight="1" x14ac:dyDescent="0.25">
      <c r="A6" s="158" t="s">
        <v>66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6"/>
    </row>
    <row r="7" spans="1:13" x14ac:dyDescent="0.25">
      <c r="A7" s="144" t="s">
        <v>2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4"/>
    </row>
    <row r="8" spans="1:13" ht="15" x14ac:dyDescent="0.25">
      <c r="A8" s="15"/>
      <c r="B8" s="143" t="s">
        <v>75</v>
      </c>
      <c r="C8" s="143"/>
      <c r="D8" s="143"/>
      <c r="E8" s="143"/>
      <c r="F8" s="143"/>
      <c r="G8" s="143"/>
      <c r="H8" s="143"/>
      <c r="I8" s="143"/>
      <c r="J8" s="143"/>
      <c r="K8" s="143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52" t="str">
        <f>QUADRO!H7</f>
        <v>RFD SEASAVA</v>
      </c>
      <c r="D12" s="160"/>
      <c r="E12" s="161"/>
      <c r="F12" s="151"/>
      <c r="G12" s="152">
        <f>QUADRO!J7</f>
        <v>8</v>
      </c>
      <c r="H12" s="151"/>
      <c r="I12" s="163" t="str">
        <f>QUADRO!C7</f>
        <v>5017330300017</v>
      </c>
      <c r="J12" s="164"/>
      <c r="K12" s="150" t="str">
        <f>QUADRO!G79</f>
        <v>08/2006</v>
      </c>
      <c r="L12" s="151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12"/>
      <c r="J13" s="139">
        <v>46966</v>
      </c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4" t="s">
        <v>299</v>
      </c>
      <c r="D15" s="162"/>
      <c r="E15" s="162"/>
      <c r="F15" s="155"/>
      <c r="G15" s="18">
        <v>10</v>
      </c>
      <c r="H15" s="12" t="s">
        <v>19</v>
      </c>
      <c r="I15" s="18">
        <v>1</v>
      </c>
      <c r="J15" s="141" t="s">
        <v>328</v>
      </c>
      <c r="K15" s="154">
        <v>6</v>
      </c>
      <c r="L15" s="155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3" t="s">
        <v>6</v>
      </c>
      <c r="D17" s="153"/>
      <c r="E17" s="153"/>
      <c r="F17" s="26"/>
      <c r="G17" s="153" t="s">
        <v>21</v>
      </c>
      <c r="H17" s="153"/>
      <c r="I17" s="153" t="s">
        <v>22</v>
      </c>
      <c r="J17" s="153"/>
      <c r="K17" s="153" t="s">
        <v>23</v>
      </c>
      <c r="L17" s="153"/>
      <c r="M17" s="26"/>
    </row>
    <row r="18" spans="1:13" s="46" customFormat="1" ht="9.9" customHeight="1" x14ac:dyDescent="0.25">
      <c r="A18" s="8" t="s">
        <v>24</v>
      </c>
      <c r="B18" s="1"/>
      <c r="C18" s="144" t="s">
        <v>25</v>
      </c>
      <c r="D18" s="144"/>
      <c r="E18" s="144"/>
      <c r="F18" s="1"/>
      <c r="G18" s="144" t="s">
        <v>26</v>
      </c>
      <c r="H18" s="144"/>
      <c r="I18" s="144" t="s">
        <v>27</v>
      </c>
      <c r="J18" s="144"/>
      <c r="K18" s="144" t="s">
        <v>28</v>
      </c>
      <c r="L18" s="144"/>
      <c r="M18" s="1"/>
    </row>
    <row r="19" spans="1:13" ht="15" x14ac:dyDescent="0.25">
      <c r="A19" s="3"/>
      <c r="B19" s="3"/>
      <c r="C19" s="184" t="str">
        <f>QUADRO!I56</f>
        <v>689958</v>
      </c>
      <c r="D19" s="185"/>
      <c r="E19" s="185"/>
      <c r="F19" s="186"/>
      <c r="G19" s="166">
        <f>QUADRO!I62</f>
        <v>2.5</v>
      </c>
      <c r="H19" s="166"/>
      <c r="I19" s="166">
        <v>0.16</v>
      </c>
      <c r="J19" s="166"/>
      <c r="K19" s="167" t="str">
        <f>QUADRO!I66</f>
        <v>03/24</v>
      </c>
      <c r="L19" s="168"/>
      <c r="M19" s="3"/>
    </row>
    <row r="20" spans="1:13" ht="15" x14ac:dyDescent="0.25">
      <c r="A20" s="3"/>
      <c r="B20" s="3"/>
      <c r="C20" s="187"/>
      <c r="D20" s="185"/>
      <c r="E20" s="185"/>
      <c r="F20" s="186"/>
      <c r="G20" s="166"/>
      <c r="H20" s="166"/>
      <c r="I20" s="166"/>
      <c r="J20" s="166"/>
      <c r="K20" s="167"/>
      <c r="L20" s="168"/>
      <c r="M20" s="3"/>
    </row>
    <row r="21" spans="1:13" ht="15" x14ac:dyDescent="0.25">
      <c r="A21" s="3"/>
      <c r="B21" s="3"/>
      <c r="C21" s="188"/>
      <c r="D21" s="189"/>
      <c r="E21" s="189"/>
      <c r="F21" s="190"/>
      <c r="G21" s="165"/>
      <c r="H21" s="165"/>
      <c r="I21" s="165"/>
      <c r="J21" s="165"/>
      <c r="K21" s="165"/>
      <c r="L21" s="165"/>
      <c r="M21" s="3"/>
    </row>
    <row r="22" spans="1:13" ht="15" x14ac:dyDescent="0.25">
      <c r="A22" s="3"/>
      <c r="B22" s="3"/>
      <c r="C22" s="188"/>
      <c r="D22" s="189"/>
      <c r="E22" s="189"/>
      <c r="F22" s="190"/>
      <c r="G22" s="165"/>
      <c r="H22" s="165"/>
      <c r="I22" s="165"/>
      <c r="J22" s="165"/>
      <c r="K22" s="165"/>
      <c r="L22" s="165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3" t="s">
        <v>30</v>
      </c>
      <c r="D24" s="153"/>
      <c r="E24" s="153"/>
      <c r="F24" s="26"/>
      <c r="G24" s="153" t="s">
        <v>31</v>
      </c>
      <c r="H24" s="153"/>
      <c r="I24" s="153" t="s">
        <v>32</v>
      </c>
      <c r="J24" s="153"/>
      <c r="K24" s="153" t="s">
        <v>33</v>
      </c>
      <c r="L24" s="153"/>
      <c r="M24" s="25"/>
    </row>
    <row r="25" spans="1:13" s="46" customFormat="1" ht="9.75" customHeight="1" x14ac:dyDescent="0.25">
      <c r="A25" s="8" t="s">
        <v>78</v>
      </c>
      <c r="B25" s="8"/>
      <c r="C25" s="145"/>
      <c r="D25" s="145"/>
      <c r="E25" s="145"/>
      <c r="F25" s="8"/>
      <c r="G25" s="144" t="s">
        <v>34</v>
      </c>
      <c r="H25" s="144"/>
      <c r="I25" s="144" t="s">
        <v>25</v>
      </c>
      <c r="J25" s="144"/>
      <c r="K25" s="144" t="s">
        <v>35</v>
      </c>
      <c r="L25" s="144"/>
      <c r="M25" s="8"/>
    </row>
    <row r="26" spans="1:13" s="24" customFormat="1" ht="12.9" customHeight="1" x14ac:dyDescent="0.25">
      <c r="A26" s="25"/>
      <c r="B26" s="25"/>
      <c r="C26" s="175" t="s">
        <v>36</v>
      </c>
      <c r="D26" s="176"/>
      <c r="E26" s="176"/>
      <c r="F26" s="36"/>
      <c r="G26" s="197" t="str">
        <f>QUADRO!F47</f>
        <v>MIN</v>
      </c>
      <c r="H26" s="198"/>
      <c r="I26" s="177" t="str">
        <f>QUADRO!C7</f>
        <v>5017330300017</v>
      </c>
      <c r="J26" s="178"/>
      <c r="K26" s="180">
        <f>QUADRO!F81+365</f>
        <v>46123</v>
      </c>
      <c r="L26" s="181"/>
      <c r="M26" s="25"/>
    </row>
    <row r="27" spans="1:13" s="46" customFormat="1" ht="9.9" customHeight="1" x14ac:dyDescent="0.25">
      <c r="A27" s="8"/>
      <c r="B27" s="8"/>
      <c r="C27" s="179" t="s">
        <v>37</v>
      </c>
      <c r="D27" s="174"/>
      <c r="E27" s="174"/>
      <c r="F27" s="51"/>
      <c r="G27" s="152"/>
      <c r="H27" s="151"/>
      <c r="I27" s="163"/>
      <c r="J27" s="164"/>
      <c r="K27" s="182"/>
      <c r="L27" s="183"/>
      <c r="M27" s="8"/>
    </row>
    <row r="28" spans="1:13" s="24" customFormat="1" ht="12.9" customHeight="1" x14ac:dyDescent="0.25">
      <c r="A28" s="25"/>
      <c r="B28" s="25"/>
      <c r="C28" s="175" t="s">
        <v>38</v>
      </c>
      <c r="D28" s="176"/>
      <c r="E28" s="176"/>
      <c r="F28" s="36"/>
      <c r="G28" s="169"/>
      <c r="H28" s="170"/>
      <c r="I28" s="169"/>
      <c r="J28" s="170"/>
      <c r="K28" s="169"/>
      <c r="L28" s="170"/>
      <c r="M28" s="25"/>
    </row>
    <row r="29" spans="1:13" s="46" customFormat="1" ht="9.9" customHeight="1" x14ac:dyDescent="0.25">
      <c r="A29" s="8"/>
      <c r="B29" s="8"/>
      <c r="C29" s="173">
        <v>45292</v>
      </c>
      <c r="D29" s="174"/>
      <c r="E29" s="174"/>
      <c r="F29" s="51"/>
      <c r="G29" s="171"/>
      <c r="H29" s="172"/>
      <c r="I29" s="171"/>
      <c r="J29" s="172"/>
      <c r="K29" s="171"/>
      <c r="L29" s="172"/>
      <c r="M29" s="8"/>
    </row>
    <row r="30" spans="1:13" s="24" customFormat="1" ht="12.9" customHeight="1" x14ac:dyDescent="0.25">
      <c r="A30" s="25"/>
      <c r="B30" s="25"/>
      <c r="C30" s="175" t="s">
        <v>39</v>
      </c>
      <c r="D30" s="176"/>
      <c r="E30" s="176"/>
      <c r="F30" s="36"/>
      <c r="G30" s="169"/>
      <c r="H30" s="170"/>
      <c r="I30" s="169"/>
      <c r="J30" s="170"/>
      <c r="K30" s="169"/>
      <c r="L30" s="170"/>
      <c r="M30" s="25"/>
    </row>
    <row r="31" spans="1:13" s="46" customFormat="1" ht="9.9" customHeight="1" x14ac:dyDescent="0.25">
      <c r="A31" s="8"/>
      <c r="B31" s="8"/>
      <c r="C31" s="179" t="s">
        <v>40</v>
      </c>
      <c r="D31" s="174"/>
      <c r="E31" s="174"/>
      <c r="F31" s="51"/>
      <c r="G31" s="171"/>
      <c r="H31" s="172"/>
      <c r="I31" s="171"/>
      <c r="J31" s="172"/>
      <c r="K31" s="171"/>
      <c r="L31" s="172"/>
      <c r="M31" s="8"/>
    </row>
    <row r="32" spans="1:13" s="24" customFormat="1" ht="12.9" customHeight="1" x14ac:dyDescent="0.25">
      <c r="A32" s="25"/>
      <c r="B32" s="25"/>
      <c r="C32" s="175" t="s">
        <v>41</v>
      </c>
      <c r="D32" s="176"/>
      <c r="E32" s="176"/>
      <c r="F32" s="36"/>
      <c r="G32" s="169"/>
      <c r="H32" s="195"/>
      <c r="I32" s="169"/>
      <c r="J32" s="170"/>
      <c r="K32" s="169" t="s">
        <v>1</v>
      </c>
      <c r="L32" s="170"/>
      <c r="M32" s="25"/>
    </row>
    <row r="33" spans="1:13" s="46" customFormat="1" ht="9.9" customHeight="1" x14ac:dyDescent="0.25">
      <c r="A33" s="8"/>
      <c r="B33" s="8"/>
      <c r="C33" s="179" t="s">
        <v>42</v>
      </c>
      <c r="D33" s="174"/>
      <c r="E33" s="174"/>
      <c r="F33" s="51"/>
      <c r="G33" s="154"/>
      <c r="H33" s="155"/>
      <c r="I33" s="171"/>
      <c r="J33" s="172"/>
      <c r="K33" s="171"/>
      <c r="L33" s="172"/>
      <c r="M33" s="8"/>
    </row>
    <row r="34" spans="1:13" s="24" customFormat="1" ht="12.75" customHeight="1" x14ac:dyDescent="0.25">
      <c r="A34" s="25"/>
      <c r="B34" s="25"/>
      <c r="C34" s="175" t="s">
        <v>43</v>
      </c>
      <c r="D34" s="176"/>
      <c r="E34" s="176"/>
      <c r="F34" s="36"/>
      <c r="G34" s="169" t="s">
        <v>302</v>
      </c>
      <c r="H34" s="170"/>
      <c r="I34" s="169"/>
      <c r="J34" s="170"/>
      <c r="K34" s="177" t="str">
        <f>QUADRO!J13</f>
        <v>08/2028</v>
      </c>
      <c r="L34" s="178"/>
      <c r="M34" s="25"/>
    </row>
    <row r="35" spans="1:13" s="46" customFormat="1" ht="9.9" customHeight="1" x14ac:dyDescent="0.25">
      <c r="A35" s="8"/>
      <c r="B35" s="8"/>
      <c r="C35" s="179" t="s">
        <v>44</v>
      </c>
      <c r="D35" s="174"/>
      <c r="E35" s="174"/>
      <c r="F35" s="51"/>
      <c r="G35" s="171"/>
      <c r="H35" s="172"/>
      <c r="I35" s="171"/>
      <c r="J35" s="172"/>
      <c r="K35" s="163"/>
      <c r="L35" s="164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6"/>
      <c r="D37" s="196"/>
      <c r="E37" s="196"/>
      <c r="F37" s="19"/>
      <c r="G37" s="196"/>
      <c r="H37" s="196"/>
      <c r="I37" s="196"/>
      <c r="J37" s="196"/>
      <c r="K37" s="196"/>
      <c r="L37" s="196"/>
      <c r="M37" s="5"/>
    </row>
    <row r="38" spans="1:13" s="24" customFormat="1" ht="12.9" customHeight="1" x14ac:dyDescent="0.25">
      <c r="A38" s="25" t="s">
        <v>45</v>
      </c>
      <c r="B38" s="25"/>
      <c r="C38" s="153" t="s">
        <v>46</v>
      </c>
      <c r="D38" s="153"/>
      <c r="E38" s="153"/>
      <c r="F38" s="26"/>
      <c r="G38" s="153" t="s">
        <v>47</v>
      </c>
      <c r="H38" s="153"/>
      <c r="I38" s="153" t="s">
        <v>48</v>
      </c>
      <c r="J38" s="153"/>
      <c r="K38" s="153" t="s">
        <v>49</v>
      </c>
      <c r="L38" s="153"/>
      <c r="M38" s="25"/>
    </row>
    <row r="39" spans="1:13" s="46" customFormat="1" ht="9.9" customHeight="1" x14ac:dyDescent="0.25">
      <c r="A39" s="8" t="s">
        <v>50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51</v>
      </c>
      <c r="D40" s="37"/>
      <c r="E40" s="206" t="s">
        <v>315</v>
      </c>
      <c r="F40" s="195"/>
      <c r="G40" s="35" t="s">
        <v>51</v>
      </c>
      <c r="H40" s="170" t="s">
        <v>298</v>
      </c>
      <c r="I40" s="35" t="s">
        <v>71</v>
      </c>
      <c r="J40" s="170" t="s">
        <v>315</v>
      </c>
      <c r="K40" s="35" t="s">
        <v>51</v>
      </c>
      <c r="L40" s="170" t="s">
        <v>295</v>
      </c>
      <c r="M40" s="27"/>
    </row>
    <row r="41" spans="1:13" s="46" customFormat="1" ht="9.9" customHeight="1" x14ac:dyDescent="0.25">
      <c r="A41" s="8"/>
      <c r="B41" s="8"/>
      <c r="C41" s="49" t="s">
        <v>52</v>
      </c>
      <c r="D41" s="50"/>
      <c r="E41" s="162"/>
      <c r="F41" s="155"/>
      <c r="G41" s="49" t="s">
        <v>52</v>
      </c>
      <c r="H41" s="155"/>
      <c r="I41" s="49" t="s">
        <v>52</v>
      </c>
      <c r="J41" s="155"/>
      <c r="K41" s="49" t="s">
        <v>52</v>
      </c>
      <c r="L41" s="155"/>
      <c r="M41" s="8"/>
    </row>
    <row r="42" spans="1:13" s="24" customFormat="1" ht="12.9" customHeight="1" x14ac:dyDescent="0.25">
      <c r="A42" s="23"/>
      <c r="B42" s="23"/>
      <c r="C42" s="35" t="s">
        <v>53</v>
      </c>
      <c r="D42" s="37"/>
      <c r="E42" s="199" t="s">
        <v>332</v>
      </c>
      <c r="F42" s="198"/>
      <c r="G42" s="35" t="s">
        <v>53</v>
      </c>
      <c r="H42" s="194"/>
      <c r="I42" s="35" t="s">
        <v>53</v>
      </c>
      <c r="J42" s="194" t="s">
        <v>332</v>
      </c>
      <c r="K42" s="35" t="s">
        <v>53</v>
      </c>
      <c r="L42" s="194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54</v>
      </c>
      <c r="D43" s="50"/>
      <c r="E43" s="160"/>
      <c r="F43" s="151"/>
      <c r="G43" s="49" t="s">
        <v>54</v>
      </c>
      <c r="H43" s="151"/>
      <c r="I43" s="49" t="s">
        <v>54</v>
      </c>
      <c r="J43" s="151"/>
      <c r="K43" s="49" t="s">
        <v>54</v>
      </c>
      <c r="L43" s="151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55</v>
      </c>
      <c r="B45" s="25"/>
      <c r="C45" s="35" t="s">
        <v>56</v>
      </c>
      <c r="D45" s="37"/>
      <c r="E45" s="37"/>
      <c r="F45" s="37"/>
      <c r="G45" s="35" t="s">
        <v>57</v>
      </c>
      <c r="H45" s="37"/>
      <c r="I45" s="37"/>
      <c r="J45" s="36"/>
      <c r="K45" s="35" t="s">
        <v>58</v>
      </c>
      <c r="L45" s="36"/>
      <c r="M45" s="25"/>
    </row>
    <row r="46" spans="1:13" s="46" customFormat="1" ht="9.9" customHeight="1" x14ac:dyDescent="0.25">
      <c r="A46" s="8" t="s">
        <v>59</v>
      </c>
      <c r="B46" s="8"/>
      <c r="C46" s="47" t="s">
        <v>60</v>
      </c>
      <c r="D46" s="8"/>
      <c r="E46" s="8"/>
      <c r="F46" s="8"/>
      <c r="G46" s="47" t="s">
        <v>61</v>
      </c>
      <c r="H46" s="8"/>
      <c r="I46" s="8"/>
      <c r="J46" s="48"/>
      <c r="K46" s="47" t="s">
        <v>62</v>
      </c>
      <c r="L46" s="48"/>
      <c r="M46" s="8"/>
    </row>
    <row r="47" spans="1:13" ht="15" x14ac:dyDescent="0.25">
      <c r="A47" s="2"/>
      <c r="B47" s="2"/>
      <c r="C47" s="201">
        <f>QUADRO!F81</f>
        <v>45758</v>
      </c>
      <c r="D47" s="207"/>
      <c r="E47" s="207"/>
      <c r="F47" s="208"/>
      <c r="G47" s="152" t="str">
        <f>QUADRO!C81</f>
        <v xml:space="preserve">OREY TÉCNICA </v>
      </c>
      <c r="H47" s="160"/>
      <c r="I47" s="160"/>
      <c r="J47" s="151"/>
      <c r="K47" s="201">
        <f>C47+365</f>
        <v>46123</v>
      </c>
      <c r="L47" s="151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91" t="s">
        <v>76</v>
      </c>
      <c r="D49" s="192"/>
      <c r="E49" s="192"/>
      <c r="F49" s="53" t="s">
        <v>81</v>
      </c>
      <c r="G49" s="54"/>
      <c r="H49" s="54"/>
      <c r="I49" s="39"/>
      <c r="J49" s="140">
        <v>45748</v>
      </c>
      <c r="K49" s="39"/>
      <c r="L49" s="38"/>
      <c r="M49" s="23"/>
    </row>
    <row r="50" spans="1:13" ht="14.25" customHeight="1" x14ac:dyDescent="0.25">
      <c r="A50" s="4"/>
      <c r="B50" s="4"/>
      <c r="C50" s="193" t="s">
        <v>77</v>
      </c>
      <c r="D50" s="149"/>
      <c r="E50" s="149"/>
      <c r="F50" s="209" t="s">
        <v>308</v>
      </c>
      <c r="G50" s="210"/>
      <c r="H50" s="210"/>
      <c r="I50" s="210"/>
      <c r="J50" s="210"/>
      <c r="K50" s="210"/>
      <c r="L50" s="211"/>
      <c r="M50" s="4"/>
    </row>
    <row r="51" spans="1:13" ht="12.75" customHeight="1" x14ac:dyDescent="0.25">
      <c r="A51" s="4"/>
      <c r="B51" s="4"/>
      <c r="C51" s="202"/>
      <c r="D51" s="203"/>
      <c r="E51" s="203"/>
      <c r="F51" s="209"/>
      <c r="G51" s="210"/>
      <c r="H51" s="210"/>
      <c r="I51" s="210"/>
      <c r="J51" s="210"/>
      <c r="K51" s="210"/>
      <c r="L51" s="211"/>
      <c r="M51" s="4"/>
    </row>
    <row r="52" spans="1:13" ht="15" customHeight="1" x14ac:dyDescent="0.25">
      <c r="A52" s="2"/>
      <c r="B52" s="2"/>
      <c r="C52" s="204"/>
      <c r="D52" s="205"/>
      <c r="E52" s="205"/>
      <c r="F52" s="212"/>
      <c r="G52" s="213"/>
      <c r="H52" s="213"/>
      <c r="I52" s="213"/>
      <c r="J52" s="213"/>
      <c r="K52" s="213"/>
      <c r="L52" s="214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5" t="s">
        <v>303</v>
      </c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"/>
    </row>
    <row r="55" spans="1:13" ht="15" x14ac:dyDescent="0.25">
      <c r="A55" s="2"/>
      <c r="B55" s="144" t="s">
        <v>304</v>
      </c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9" t="s">
        <v>82</v>
      </c>
      <c r="B57" s="149"/>
      <c r="C57" s="22"/>
      <c r="D57" s="146" t="s">
        <v>318</v>
      </c>
      <c r="E57" s="146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5" t="s">
        <v>63</v>
      </c>
      <c r="B58" s="145"/>
      <c r="C58" s="22"/>
      <c r="D58" s="146"/>
      <c r="E58" s="146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9" t="s">
        <v>64</v>
      </c>
      <c r="B59" s="149"/>
      <c r="C59" s="41" t="s">
        <v>1</v>
      </c>
      <c r="D59" s="147"/>
      <c r="E59" s="147"/>
      <c r="F59" s="45"/>
      <c r="G59" s="28"/>
      <c r="H59" s="27"/>
      <c r="I59" s="217" t="s">
        <v>72</v>
      </c>
      <c r="J59" s="217"/>
      <c r="K59" s="217"/>
      <c r="L59" s="217"/>
      <c r="M59" s="23"/>
    </row>
    <row r="60" spans="1:13" ht="9.75" customHeight="1" x14ac:dyDescent="0.25">
      <c r="A60" s="218"/>
      <c r="B60" s="218"/>
      <c r="C60" s="41"/>
      <c r="D60" s="147"/>
      <c r="E60" s="147"/>
      <c r="F60" s="45"/>
      <c r="G60" s="11"/>
      <c r="H60" s="3"/>
      <c r="I60" s="200" t="s">
        <v>80</v>
      </c>
      <c r="J60" s="200"/>
      <c r="K60" s="200"/>
      <c r="L60" s="200"/>
      <c r="M60" s="2"/>
    </row>
    <row r="61" spans="1:13" s="24" customFormat="1" ht="14.1" customHeight="1" x14ac:dyDescent="0.25">
      <c r="A61" s="40" t="s">
        <v>83</v>
      </c>
      <c r="B61" s="40"/>
      <c r="C61" s="22"/>
      <c r="D61" s="146"/>
      <c r="E61" s="146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5" t="s">
        <v>65</v>
      </c>
      <c r="B62" s="145"/>
      <c r="C62" s="22"/>
      <c r="D62" s="146"/>
      <c r="E62" s="146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9" t="s">
        <v>70</v>
      </c>
      <c r="B63" s="149"/>
      <c r="C63" s="22"/>
      <c r="D63" s="148" t="str">
        <f>QUADRO!E7</f>
        <v>BADEJO</v>
      </c>
      <c r="E63" s="148"/>
      <c r="F63" s="148"/>
      <c r="G63" s="148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5" t="s">
        <v>69</v>
      </c>
      <c r="B64" s="145"/>
      <c r="C64" s="22"/>
      <c r="D64" s="148"/>
      <c r="E64" s="148"/>
      <c r="F64" s="148"/>
      <c r="G64" s="148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9" t="s">
        <v>67</v>
      </c>
      <c r="B65" s="149"/>
      <c r="C65" s="22"/>
      <c r="D65" s="146" t="s">
        <v>316</v>
      </c>
      <c r="E65" s="146"/>
      <c r="F65" s="146"/>
      <c r="G65" s="146"/>
      <c r="H65" s="146"/>
      <c r="I65" s="146"/>
      <c r="J65" s="216"/>
      <c r="K65" s="216"/>
      <c r="L65" s="23"/>
      <c r="M65" s="23"/>
    </row>
    <row r="66" spans="1:13" s="46" customFormat="1" ht="9.9" customHeight="1" x14ac:dyDescent="0.25">
      <c r="A66" s="145" t="s">
        <v>68</v>
      </c>
      <c r="B66" s="145"/>
      <c r="C66" s="22"/>
      <c r="D66" s="146"/>
      <c r="E66" s="146"/>
      <c r="F66" s="146"/>
      <c r="G66" s="146"/>
      <c r="H66" s="146"/>
      <c r="I66" s="146"/>
      <c r="J66" s="144" t="s">
        <v>0</v>
      </c>
      <c r="K66" s="144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142" t="s">
        <v>307</v>
      </c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</row>
    <row r="70" spans="1:13" x14ac:dyDescent="0.25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</row>
    <row r="71" spans="1:13" x14ac:dyDescent="0.25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</row>
    <row r="72" spans="1:13" x14ac:dyDescent="0.25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</row>
    <row r="73" spans="1:13" x14ac:dyDescent="0.25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</row>
    <row r="74" spans="1:13" x14ac:dyDescent="0.25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</row>
    <row r="75" spans="1:13" x14ac:dyDescent="0.2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</row>
    <row r="76" spans="1:13" x14ac:dyDescent="0.25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</row>
    <row r="77" spans="1:13" x14ac:dyDescent="0.25">
      <c r="G77" s="143" t="s">
        <v>79</v>
      </c>
      <c r="H77" s="143"/>
    </row>
    <row r="81" spans="6:6" x14ac:dyDescent="0.25">
      <c r="F81" s="138">
        <v>45758</v>
      </c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6" zoomScale="48" zoomScaleNormal="48" workbookViewId="0">
      <selection activeCell="A69" sqref="G73:J78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9" t="s">
        <v>84</v>
      </c>
      <c r="E3" s="219"/>
      <c r="F3" s="219"/>
      <c r="G3" s="219"/>
      <c r="H3" s="220" t="s">
        <v>85</v>
      </c>
      <c r="I3" s="222"/>
      <c r="J3" s="223"/>
    </row>
    <row r="4" spans="2:15" s="58" customFormat="1" ht="23.4" customHeight="1" x14ac:dyDescent="0.4">
      <c r="B4" s="56" t="s">
        <v>86</v>
      </c>
      <c r="C4" s="57"/>
      <c r="D4" s="224" t="s">
        <v>87</v>
      </c>
      <c r="E4" s="224"/>
      <c r="F4" s="224"/>
      <c r="G4" s="224"/>
      <c r="H4" s="221"/>
      <c r="I4" s="223"/>
      <c r="J4" s="223"/>
    </row>
    <row r="5" spans="2:15" s="58" customFormat="1" ht="23.4" customHeight="1" x14ac:dyDescent="0.4">
      <c r="B5" s="56" t="s">
        <v>88</v>
      </c>
      <c r="C5" s="56"/>
      <c r="H5" s="225" t="s">
        <v>89</v>
      </c>
      <c r="I5" s="227" t="s">
        <v>329</v>
      </c>
      <c r="J5" s="228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6"/>
      <c r="I6" s="229"/>
      <c r="J6" s="229"/>
    </row>
    <row r="7" spans="2:15" ht="23.4" customHeight="1" x14ac:dyDescent="0.3">
      <c r="B7" s="59" t="s">
        <v>90</v>
      </c>
      <c r="C7" s="230" t="s">
        <v>312</v>
      </c>
      <c r="D7" s="59" t="s">
        <v>91</v>
      </c>
      <c r="E7" s="232" t="s">
        <v>311</v>
      </c>
      <c r="F7" s="233"/>
      <c r="G7" s="60" t="s">
        <v>92</v>
      </c>
      <c r="H7" s="232" t="s">
        <v>300</v>
      </c>
      <c r="I7" s="244"/>
      <c r="J7" s="247">
        <v>8</v>
      </c>
    </row>
    <row r="8" spans="2:15" ht="23.4" customHeight="1" x14ac:dyDescent="0.3">
      <c r="B8" s="61" t="s">
        <v>93</v>
      </c>
      <c r="C8" s="231"/>
      <c r="D8" s="61" t="s">
        <v>94</v>
      </c>
      <c r="E8" s="234"/>
      <c r="F8" s="235"/>
      <c r="G8" s="62" t="s">
        <v>95</v>
      </c>
      <c r="H8" s="245"/>
      <c r="I8" s="246"/>
      <c r="J8" s="248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96</v>
      </c>
      <c r="C10" s="69"/>
      <c r="D10" s="59" t="s">
        <v>97</v>
      </c>
      <c r="E10" s="70"/>
      <c r="F10" s="71"/>
      <c r="G10" s="59" t="s">
        <v>98</v>
      </c>
      <c r="H10" s="70"/>
      <c r="I10" s="72"/>
      <c r="J10" s="73"/>
    </row>
    <row r="11" spans="2:15" ht="23.4" customHeight="1" x14ac:dyDescent="0.4">
      <c r="B11" s="75" t="s">
        <v>99</v>
      </c>
      <c r="C11" s="76"/>
      <c r="D11" s="63" t="s">
        <v>100</v>
      </c>
      <c r="F11" s="77"/>
      <c r="G11" s="63" t="s">
        <v>101</v>
      </c>
      <c r="I11" s="78"/>
      <c r="J11" s="79"/>
    </row>
    <row r="12" spans="2:15" s="74" customFormat="1" ht="23.4" customHeight="1" x14ac:dyDescent="0.4">
      <c r="B12" s="59" t="s">
        <v>102</v>
      </c>
      <c r="C12" s="71"/>
      <c r="D12" s="59" t="s">
        <v>103</v>
      </c>
      <c r="E12" s="70"/>
      <c r="F12" s="71"/>
      <c r="G12" s="59" t="s">
        <v>104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105</v>
      </c>
      <c r="C13" s="80"/>
      <c r="D13" s="61" t="s">
        <v>106</v>
      </c>
      <c r="E13" s="81"/>
      <c r="F13" s="80"/>
      <c r="G13" s="61" t="s">
        <v>107</v>
      </c>
      <c r="H13" s="81"/>
      <c r="I13" s="311" t="s">
        <v>296</v>
      </c>
      <c r="J13" s="83" t="s">
        <v>330</v>
      </c>
    </row>
    <row r="14" spans="2:15" s="74" customFormat="1" ht="23.4" customHeight="1" x14ac:dyDescent="0.4">
      <c r="B14" s="84" t="s">
        <v>108</v>
      </c>
      <c r="C14" s="78"/>
      <c r="D14" s="84" t="s">
        <v>109</v>
      </c>
      <c r="F14" s="77"/>
      <c r="G14" s="84" t="s">
        <v>110</v>
      </c>
      <c r="I14" s="78"/>
      <c r="J14" s="79"/>
      <c r="O14" s="74" t="s">
        <v>1</v>
      </c>
    </row>
    <row r="15" spans="2:15" ht="23.4" customHeight="1" x14ac:dyDescent="0.4">
      <c r="B15" s="63" t="s">
        <v>111</v>
      </c>
      <c r="C15" s="78"/>
      <c r="D15" s="63" t="s">
        <v>112</v>
      </c>
      <c r="F15" s="77"/>
      <c r="G15" s="61" t="s">
        <v>113</v>
      </c>
      <c r="H15" s="81"/>
      <c r="I15" s="82"/>
      <c r="J15" s="83" t="s">
        <v>325</v>
      </c>
    </row>
    <row r="16" spans="2:15" s="74" customFormat="1" ht="23.4" customHeight="1" x14ac:dyDescent="0.4">
      <c r="B16" s="59" t="s">
        <v>114</v>
      </c>
      <c r="C16" s="71"/>
      <c r="D16" s="59" t="s">
        <v>115</v>
      </c>
      <c r="E16" s="70"/>
      <c r="F16" s="71"/>
      <c r="G16" s="59" t="s">
        <v>116</v>
      </c>
      <c r="H16" s="70"/>
      <c r="I16" s="72"/>
      <c r="J16" s="73"/>
    </row>
    <row r="17" spans="2:10" ht="23.4" customHeight="1" x14ac:dyDescent="0.4">
      <c r="B17" s="61" t="s">
        <v>117</v>
      </c>
      <c r="C17" s="80"/>
      <c r="D17" s="61" t="s">
        <v>118</v>
      </c>
      <c r="E17" s="81"/>
      <c r="F17" s="80"/>
      <c r="G17" s="61" t="s">
        <v>119</v>
      </c>
      <c r="H17" s="81"/>
      <c r="I17" s="82"/>
      <c r="J17" s="83"/>
    </row>
    <row r="18" spans="2:10" s="74" customFormat="1" ht="23.4" customHeight="1" x14ac:dyDescent="0.4">
      <c r="B18" s="84" t="s">
        <v>120</v>
      </c>
      <c r="C18" s="78"/>
      <c r="D18" s="84" t="s">
        <v>121</v>
      </c>
      <c r="F18" s="77"/>
      <c r="G18" s="59" t="s">
        <v>122</v>
      </c>
      <c r="H18" s="70"/>
      <c r="I18" s="72"/>
      <c r="J18" s="85"/>
    </row>
    <row r="19" spans="2:10" ht="23.4" customHeight="1" x14ac:dyDescent="0.4">
      <c r="B19" s="63" t="s">
        <v>123</v>
      </c>
      <c r="C19" s="78"/>
      <c r="D19" s="63" t="s">
        <v>124</v>
      </c>
      <c r="F19" s="77"/>
      <c r="G19" s="61" t="s">
        <v>125</v>
      </c>
      <c r="H19" s="81"/>
      <c r="I19" s="82"/>
      <c r="J19" s="83" t="s">
        <v>326</v>
      </c>
    </row>
    <row r="20" spans="2:10" s="74" customFormat="1" ht="23.4" customHeight="1" x14ac:dyDescent="0.4">
      <c r="B20" s="59" t="s">
        <v>103</v>
      </c>
      <c r="C20" s="71"/>
      <c r="D20" s="59" t="s">
        <v>126</v>
      </c>
      <c r="E20" s="70"/>
      <c r="F20" s="71"/>
      <c r="G20" s="59" t="s">
        <v>127</v>
      </c>
      <c r="H20" s="70"/>
      <c r="I20" s="72"/>
      <c r="J20" s="73"/>
    </row>
    <row r="21" spans="2:10" ht="23.4" customHeight="1" x14ac:dyDescent="0.4">
      <c r="B21" s="61" t="s">
        <v>128</v>
      </c>
      <c r="C21" s="80"/>
      <c r="D21" s="61" t="s">
        <v>129</v>
      </c>
      <c r="E21" s="81"/>
      <c r="F21" s="80"/>
      <c r="G21" s="61" t="s">
        <v>130</v>
      </c>
      <c r="H21" s="81"/>
      <c r="I21" s="82"/>
      <c r="J21" s="83"/>
    </row>
    <row r="22" spans="2:10" s="74" customFormat="1" ht="23.4" customHeight="1" x14ac:dyDescent="0.4">
      <c r="B22" s="84" t="s">
        <v>131</v>
      </c>
      <c r="C22" s="78"/>
      <c r="D22" s="84" t="s">
        <v>132</v>
      </c>
      <c r="F22" s="77"/>
      <c r="G22" s="74" t="s">
        <v>133</v>
      </c>
      <c r="I22" s="78"/>
      <c r="J22" s="79"/>
    </row>
    <row r="23" spans="2:10" ht="23.4" customHeight="1" x14ac:dyDescent="0.4">
      <c r="B23" s="63" t="s">
        <v>134</v>
      </c>
      <c r="C23" s="78"/>
      <c r="D23" s="63" t="s">
        <v>135</v>
      </c>
      <c r="F23" s="83" t="s">
        <v>331</v>
      </c>
      <c r="G23" s="81" t="s">
        <v>136</v>
      </c>
      <c r="H23" s="81"/>
      <c r="I23" s="86"/>
      <c r="J23" s="87"/>
    </row>
    <row r="24" spans="2:10" s="74" customFormat="1" ht="23.4" customHeight="1" x14ac:dyDescent="0.4">
      <c r="B24" s="59" t="s">
        <v>137</v>
      </c>
      <c r="C24" s="71"/>
      <c r="D24" s="59" t="s">
        <v>138</v>
      </c>
      <c r="E24" s="70"/>
      <c r="F24" s="71"/>
      <c r="G24" s="59" t="s">
        <v>139</v>
      </c>
      <c r="H24" s="70"/>
      <c r="I24" s="72"/>
      <c r="J24" s="73"/>
    </row>
    <row r="25" spans="2:10" ht="23.4" customHeight="1" x14ac:dyDescent="0.4">
      <c r="B25" s="61" t="s">
        <v>140</v>
      </c>
      <c r="C25" s="80"/>
      <c r="D25" s="61" t="s">
        <v>141</v>
      </c>
      <c r="E25" s="81"/>
      <c r="F25" s="83"/>
      <c r="G25" s="61" t="s">
        <v>142</v>
      </c>
      <c r="H25" s="81"/>
      <c r="I25" s="82"/>
      <c r="J25" s="83" t="s">
        <v>297</v>
      </c>
    </row>
    <row r="26" spans="2:10" s="74" customFormat="1" ht="23.4" customHeight="1" x14ac:dyDescent="0.4">
      <c r="B26" s="59" t="s">
        <v>143</v>
      </c>
      <c r="C26" s="71"/>
      <c r="D26" s="74" t="s">
        <v>144</v>
      </c>
      <c r="F26" s="77"/>
      <c r="G26" s="84" t="s">
        <v>145</v>
      </c>
      <c r="I26" s="78"/>
      <c r="J26" s="79"/>
    </row>
    <row r="27" spans="2:10" ht="23.4" customHeight="1" x14ac:dyDescent="0.4">
      <c r="B27" s="61" t="s">
        <v>146</v>
      </c>
      <c r="C27" s="80"/>
      <c r="D27" s="55" t="s">
        <v>147</v>
      </c>
      <c r="F27" s="77"/>
      <c r="G27" s="61" t="s">
        <v>148</v>
      </c>
      <c r="H27" s="81"/>
      <c r="I27" s="86"/>
      <c r="J27" s="88"/>
    </row>
    <row r="28" spans="2:10" s="74" customFormat="1" ht="23.4" customHeight="1" x14ac:dyDescent="0.4">
      <c r="B28" s="59" t="s">
        <v>149</v>
      </c>
      <c r="C28" s="71"/>
      <c r="D28" s="70" t="s">
        <v>150</v>
      </c>
      <c r="E28" s="70"/>
      <c r="F28" s="71"/>
      <c r="G28" s="59" t="s">
        <v>151</v>
      </c>
      <c r="H28" s="70"/>
      <c r="I28" s="72"/>
      <c r="J28" s="73"/>
    </row>
    <row r="29" spans="2:10" ht="23.4" customHeight="1" x14ac:dyDescent="0.4">
      <c r="B29" s="61" t="s">
        <v>152</v>
      </c>
      <c r="C29" s="83" t="s">
        <v>324</v>
      </c>
      <c r="D29" s="81" t="s">
        <v>153</v>
      </c>
      <c r="E29" s="81"/>
      <c r="F29" s="80"/>
      <c r="G29" s="61" t="s">
        <v>154</v>
      </c>
      <c r="H29" s="81"/>
      <c r="I29" s="86"/>
      <c r="J29" s="88"/>
    </row>
    <row r="30" spans="2:10" s="74" customFormat="1" ht="23.4" customHeight="1" x14ac:dyDescent="0.4">
      <c r="B30" s="59" t="s">
        <v>155</v>
      </c>
      <c r="C30" s="71"/>
      <c r="D30" s="84" t="s">
        <v>156</v>
      </c>
      <c r="F30" s="77"/>
      <c r="G30" s="59" t="s">
        <v>157</v>
      </c>
      <c r="H30" s="70"/>
      <c r="I30" s="72"/>
      <c r="J30" s="73"/>
    </row>
    <row r="31" spans="2:10" ht="23.4" customHeight="1" x14ac:dyDescent="0.4">
      <c r="B31" s="61" t="s">
        <v>158</v>
      </c>
      <c r="C31" s="83"/>
      <c r="D31" s="63" t="s">
        <v>159</v>
      </c>
      <c r="F31" s="77"/>
      <c r="G31" s="61" t="s">
        <v>160</v>
      </c>
      <c r="H31" s="81"/>
      <c r="I31" s="86"/>
      <c r="J31" s="88"/>
    </row>
    <row r="32" spans="2:10" s="74" customFormat="1" ht="23.4" customHeight="1" x14ac:dyDescent="0.4">
      <c r="B32" s="84" t="s">
        <v>161</v>
      </c>
      <c r="C32" s="77"/>
      <c r="D32" s="59" t="s">
        <v>162</v>
      </c>
      <c r="E32" s="70"/>
      <c r="F32" s="71"/>
      <c r="G32" s="59" t="s">
        <v>163</v>
      </c>
      <c r="H32" s="70"/>
      <c r="I32" s="72"/>
      <c r="J32" s="73"/>
    </row>
    <row r="33" spans="2:10" ht="23.4" customHeight="1" x14ac:dyDescent="0.4">
      <c r="B33" s="61" t="s">
        <v>164</v>
      </c>
      <c r="C33" s="80"/>
      <c r="D33" s="61" t="s">
        <v>165</v>
      </c>
      <c r="E33" s="81"/>
      <c r="F33" s="80"/>
      <c r="G33" s="61" t="s">
        <v>166</v>
      </c>
      <c r="H33" s="81"/>
      <c r="I33" s="86"/>
      <c r="J33" s="88"/>
    </row>
    <row r="34" spans="2:10" s="74" customFormat="1" ht="23.4" customHeight="1" x14ac:dyDescent="0.4">
      <c r="B34" s="84" t="s">
        <v>167</v>
      </c>
      <c r="C34" s="78"/>
      <c r="D34" s="89" t="s">
        <v>168</v>
      </c>
      <c r="E34" s="90"/>
      <c r="F34" s="91"/>
      <c r="G34" s="59" t="s">
        <v>169</v>
      </c>
      <c r="H34" s="70"/>
      <c r="I34" s="72"/>
      <c r="J34" s="73"/>
    </row>
    <row r="35" spans="2:10" ht="23.4" customHeight="1" x14ac:dyDescent="0.4">
      <c r="B35" s="63" t="s">
        <v>170</v>
      </c>
      <c r="C35" s="92" t="s">
        <v>313</v>
      </c>
      <c r="D35" s="75" t="s">
        <v>171</v>
      </c>
      <c r="E35" s="93"/>
      <c r="F35" s="94"/>
      <c r="G35" s="61" t="s">
        <v>172</v>
      </c>
      <c r="H35" s="81"/>
      <c r="I35" s="86"/>
      <c r="J35" s="88"/>
    </row>
    <row r="36" spans="2:10" s="74" customFormat="1" ht="23.4" customHeight="1" x14ac:dyDescent="0.4">
      <c r="B36" s="59" t="s">
        <v>173</v>
      </c>
      <c r="C36" s="71"/>
      <c r="D36" s="59" t="s">
        <v>174</v>
      </c>
      <c r="E36" s="70"/>
      <c r="F36" s="71"/>
      <c r="G36" s="70" t="s">
        <v>175</v>
      </c>
      <c r="H36" s="70"/>
      <c r="I36" s="72"/>
      <c r="J36" s="73"/>
    </row>
    <row r="37" spans="2:10" ht="23.4" customHeight="1" x14ac:dyDescent="0.4">
      <c r="B37" s="61" t="s">
        <v>176</v>
      </c>
      <c r="C37" s="80"/>
      <c r="D37" s="61" t="s">
        <v>177</v>
      </c>
      <c r="E37" s="81"/>
      <c r="F37" s="83" t="s">
        <v>297</v>
      </c>
      <c r="G37" s="81" t="s">
        <v>178</v>
      </c>
      <c r="H37" s="81"/>
      <c r="I37" s="86"/>
      <c r="J37" s="88"/>
    </row>
    <row r="38" spans="2:10" s="74" customFormat="1" ht="23.4" customHeight="1" x14ac:dyDescent="0.4">
      <c r="B38" s="84" t="s">
        <v>179</v>
      </c>
      <c r="C38" s="78"/>
      <c r="D38" s="84" t="s">
        <v>180</v>
      </c>
      <c r="F38" s="77"/>
      <c r="G38" s="59" t="s">
        <v>181</v>
      </c>
      <c r="H38" s="70"/>
      <c r="I38" s="72"/>
      <c r="J38" s="73"/>
    </row>
    <row r="39" spans="2:10" ht="23.4" customHeight="1" x14ac:dyDescent="0.4">
      <c r="B39" s="63" t="s">
        <v>176</v>
      </c>
      <c r="C39" s="78"/>
      <c r="D39" s="63" t="s">
        <v>182</v>
      </c>
      <c r="F39" s="77"/>
      <c r="G39" s="61" t="s">
        <v>183</v>
      </c>
      <c r="H39" s="81"/>
      <c r="I39" s="86"/>
      <c r="J39" s="88"/>
    </row>
    <row r="40" spans="2:10" s="74" customFormat="1" ht="23.4" customHeight="1" x14ac:dyDescent="0.4">
      <c r="B40" s="59" t="s">
        <v>184</v>
      </c>
      <c r="C40" s="71"/>
      <c r="D40" s="59" t="s">
        <v>185</v>
      </c>
      <c r="E40" s="70"/>
      <c r="F40" s="71"/>
      <c r="G40" s="70" t="s">
        <v>186</v>
      </c>
      <c r="H40" s="70"/>
      <c r="I40" s="72"/>
      <c r="J40" s="73"/>
    </row>
    <row r="41" spans="2:10" ht="23.4" customHeight="1" x14ac:dyDescent="0.4">
      <c r="B41" s="61" t="s">
        <v>187</v>
      </c>
      <c r="C41" s="80"/>
      <c r="D41" s="61" t="s">
        <v>188</v>
      </c>
      <c r="E41" s="81"/>
      <c r="F41" s="95" t="s">
        <v>301</v>
      </c>
      <c r="G41" s="81" t="s">
        <v>189</v>
      </c>
      <c r="H41" s="81"/>
      <c r="I41" s="86"/>
      <c r="J41" s="88"/>
    </row>
    <row r="42" spans="2:10" s="74" customFormat="1" ht="23.4" customHeight="1" x14ac:dyDescent="0.4">
      <c r="B42" s="59" t="s">
        <v>190</v>
      </c>
      <c r="C42" s="71"/>
      <c r="D42" s="74" t="s">
        <v>191</v>
      </c>
      <c r="F42" s="77"/>
      <c r="G42" s="59" t="s">
        <v>192</v>
      </c>
      <c r="H42" s="70"/>
      <c r="I42" s="72"/>
      <c r="J42" s="73"/>
    </row>
    <row r="43" spans="2:10" ht="23.4" customHeight="1" x14ac:dyDescent="0.4">
      <c r="B43" s="61" t="s">
        <v>193</v>
      </c>
      <c r="C43" s="80"/>
      <c r="D43" s="55" t="s">
        <v>194</v>
      </c>
      <c r="F43" s="77"/>
      <c r="G43" s="61" t="s">
        <v>195</v>
      </c>
      <c r="H43" s="81"/>
      <c r="I43" s="86"/>
      <c r="J43" s="88"/>
    </row>
    <row r="44" spans="2:10" s="74" customFormat="1" ht="23.4" customHeight="1" x14ac:dyDescent="0.4">
      <c r="B44" s="59" t="s">
        <v>196</v>
      </c>
      <c r="C44" s="72"/>
      <c r="D44" s="68" t="s">
        <v>197</v>
      </c>
      <c r="E44" s="96"/>
      <c r="F44" s="97"/>
      <c r="G44" s="68" t="s">
        <v>198</v>
      </c>
      <c r="H44" s="96"/>
      <c r="I44" s="98" t="s">
        <v>199</v>
      </c>
      <c r="J44" s="97"/>
    </row>
    <row r="45" spans="2:10" ht="23.4" customHeight="1" x14ac:dyDescent="0.4">
      <c r="B45" s="61" t="s">
        <v>200</v>
      </c>
      <c r="C45" s="82"/>
      <c r="D45" s="99" t="s">
        <v>201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202</v>
      </c>
      <c r="C46" s="71"/>
      <c r="D46" s="84" t="s">
        <v>203</v>
      </c>
      <c r="F46" s="77"/>
      <c r="G46" s="59" t="s">
        <v>204</v>
      </c>
      <c r="H46" s="70"/>
      <c r="I46" s="103"/>
      <c r="J46" s="73"/>
    </row>
    <row r="47" spans="2:10" ht="23.4" customHeight="1" x14ac:dyDescent="0.3">
      <c r="B47" s="61" t="s">
        <v>205</v>
      </c>
      <c r="C47" s="83"/>
      <c r="D47" s="61" t="s">
        <v>206</v>
      </c>
      <c r="E47" s="81"/>
      <c r="F47" s="104" t="s">
        <v>317</v>
      </c>
      <c r="G47" s="61"/>
      <c r="H47" s="81"/>
      <c r="I47" s="105"/>
      <c r="J47" s="106" t="s">
        <v>332</v>
      </c>
    </row>
    <row r="48" spans="2:10" s="74" customFormat="1" ht="23.4" customHeight="1" x14ac:dyDescent="0.4">
      <c r="B48" s="59" t="s">
        <v>207</v>
      </c>
      <c r="C48" s="71"/>
      <c r="D48" s="84" t="s">
        <v>208</v>
      </c>
      <c r="F48" s="77"/>
      <c r="G48" s="59" t="s">
        <v>209</v>
      </c>
      <c r="H48" s="107"/>
      <c r="I48" s="108"/>
      <c r="J48" s="79" t="s">
        <v>1</v>
      </c>
    </row>
    <row r="49" spans="1:13" ht="23.4" customHeight="1" x14ac:dyDescent="0.4">
      <c r="B49" s="61" t="s">
        <v>210</v>
      </c>
      <c r="C49" s="83" t="s">
        <v>309</v>
      </c>
      <c r="D49" s="61" t="s">
        <v>211</v>
      </c>
      <c r="E49" s="81"/>
      <c r="F49" s="80"/>
      <c r="G49" s="61"/>
      <c r="H49" s="109"/>
      <c r="I49" s="105"/>
      <c r="J49" s="106" t="s">
        <v>332</v>
      </c>
    </row>
    <row r="50" spans="1:13" s="74" customFormat="1" ht="23.4" customHeight="1" x14ac:dyDescent="0.4">
      <c r="B50" s="84" t="s">
        <v>212</v>
      </c>
      <c r="C50" s="78"/>
      <c r="D50" s="59" t="s">
        <v>213</v>
      </c>
      <c r="E50" s="70"/>
      <c r="F50" s="71"/>
      <c r="G50" s="59" t="s">
        <v>214</v>
      </c>
      <c r="H50" s="107"/>
      <c r="I50" s="110"/>
      <c r="J50" s="73" t="s">
        <v>1</v>
      </c>
    </row>
    <row r="51" spans="1:13" ht="23.4" customHeight="1" x14ac:dyDescent="0.4">
      <c r="B51" s="63" t="s">
        <v>215</v>
      </c>
      <c r="C51" s="78"/>
      <c r="D51" s="61" t="s">
        <v>216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217</v>
      </c>
      <c r="C52" s="72"/>
      <c r="D52" s="59" t="s">
        <v>218</v>
      </c>
      <c r="E52" s="70"/>
      <c r="F52" s="71"/>
      <c r="G52" s="59" t="s">
        <v>219</v>
      </c>
      <c r="H52" s="107"/>
      <c r="I52" s="110"/>
      <c r="J52" s="73" t="s">
        <v>1</v>
      </c>
    </row>
    <row r="53" spans="1:13" ht="23.4" customHeight="1" x14ac:dyDescent="0.4">
      <c r="B53" s="61" t="s">
        <v>220</v>
      </c>
      <c r="C53" s="86"/>
      <c r="D53" s="61" t="s">
        <v>221</v>
      </c>
      <c r="E53" s="81"/>
      <c r="F53" s="83" t="s">
        <v>296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222</v>
      </c>
      <c r="C54" s="78"/>
      <c r="D54" s="84" t="s">
        <v>223</v>
      </c>
      <c r="F54" s="78"/>
      <c r="G54" s="68" t="s">
        <v>224</v>
      </c>
      <c r="H54" s="96"/>
      <c r="I54" s="98"/>
      <c r="J54" s="97"/>
    </row>
    <row r="55" spans="1:13" ht="23.4" customHeight="1" x14ac:dyDescent="0.4">
      <c r="B55" s="63" t="s">
        <v>225</v>
      </c>
      <c r="C55" s="78"/>
      <c r="D55" s="63" t="s">
        <v>226</v>
      </c>
      <c r="F55" s="78"/>
      <c r="G55" s="99" t="s">
        <v>227</v>
      </c>
      <c r="H55" s="100"/>
      <c r="I55" s="112"/>
      <c r="J55" s="101"/>
    </row>
    <row r="56" spans="1:13" s="74" customFormat="1" ht="23.4" customHeight="1" x14ac:dyDescent="0.4">
      <c r="B56" s="68" t="s">
        <v>228</v>
      </c>
      <c r="C56" s="113"/>
      <c r="D56" s="59" t="s">
        <v>229</v>
      </c>
      <c r="E56" s="70"/>
      <c r="F56" s="71"/>
      <c r="G56" s="236" t="s">
        <v>230</v>
      </c>
      <c r="H56" s="237"/>
      <c r="I56" s="238" t="s">
        <v>321</v>
      </c>
      <c r="J56" s="240"/>
      <c r="M56" s="137"/>
    </row>
    <row r="57" spans="1:13" ht="23.4" customHeight="1" x14ac:dyDescent="0.4">
      <c r="B57" s="99" t="s">
        <v>231</v>
      </c>
      <c r="C57" s="114"/>
      <c r="D57" s="61" t="s">
        <v>318</v>
      </c>
      <c r="E57" s="81"/>
      <c r="F57" s="80"/>
      <c r="G57" s="242" t="s">
        <v>232</v>
      </c>
      <c r="H57" s="243"/>
      <c r="I57" s="239"/>
      <c r="J57" s="241"/>
    </row>
    <row r="58" spans="1:13" s="74" customFormat="1" ht="23.4" customHeight="1" x14ac:dyDescent="0.4">
      <c r="B58" s="84" t="s">
        <v>233</v>
      </c>
      <c r="C58" s="78"/>
      <c r="D58" s="59" t="s">
        <v>234</v>
      </c>
      <c r="E58" s="70"/>
      <c r="F58" s="71"/>
      <c r="G58" s="252" t="s">
        <v>235</v>
      </c>
      <c r="H58" s="253"/>
      <c r="I58" s="249" t="s">
        <v>322</v>
      </c>
      <c r="J58" s="250"/>
    </row>
    <row r="59" spans="1:13" ht="23.4" customHeight="1" x14ac:dyDescent="0.4">
      <c r="B59" s="63" t="s">
        <v>236</v>
      </c>
      <c r="C59" s="78"/>
      <c r="D59" s="61" t="s">
        <v>237</v>
      </c>
      <c r="E59" s="81"/>
      <c r="F59" s="115"/>
      <c r="G59" s="242" t="s">
        <v>238</v>
      </c>
      <c r="H59" s="243"/>
      <c r="I59" s="239"/>
      <c r="J59" s="251"/>
    </row>
    <row r="60" spans="1:13" s="74" customFormat="1" ht="23.4" customHeight="1" x14ac:dyDescent="0.4">
      <c r="B60" s="59" t="s">
        <v>239</v>
      </c>
      <c r="C60" s="71"/>
      <c r="D60" s="89" t="s">
        <v>240</v>
      </c>
      <c r="E60" s="90"/>
      <c r="F60" s="91"/>
      <c r="G60" s="252" t="s">
        <v>241</v>
      </c>
      <c r="H60" s="253"/>
      <c r="I60" s="249" t="s">
        <v>323</v>
      </c>
      <c r="J60" s="250"/>
      <c r="M60" s="137"/>
    </row>
    <row r="61" spans="1:13" ht="23.4" customHeight="1" x14ac:dyDescent="0.4">
      <c r="B61" s="61" t="s">
        <v>242</v>
      </c>
      <c r="C61" s="80"/>
      <c r="D61" s="99" t="s">
        <v>243</v>
      </c>
      <c r="E61" s="112"/>
      <c r="F61" s="114"/>
      <c r="G61" s="242" t="s">
        <v>244</v>
      </c>
      <c r="H61" s="243"/>
      <c r="I61" s="239"/>
      <c r="J61" s="251"/>
    </row>
    <row r="62" spans="1:13" s="74" customFormat="1" ht="23.4" customHeight="1" x14ac:dyDescent="0.4">
      <c r="B62" s="84" t="s">
        <v>245</v>
      </c>
      <c r="C62" s="78"/>
      <c r="D62" s="59" t="s">
        <v>246</v>
      </c>
      <c r="E62" s="70"/>
      <c r="F62" s="71"/>
      <c r="G62" s="254" t="s">
        <v>247</v>
      </c>
      <c r="H62" s="253"/>
      <c r="I62" s="255">
        <v>2.5</v>
      </c>
      <c r="J62" s="257"/>
    </row>
    <row r="63" spans="1:13" ht="23.4" customHeight="1" x14ac:dyDescent="0.4">
      <c r="B63" s="63" t="s">
        <v>248</v>
      </c>
      <c r="C63" s="80"/>
      <c r="D63" s="61" t="s">
        <v>249</v>
      </c>
      <c r="E63" s="81"/>
      <c r="F63" s="83" t="s">
        <v>320</v>
      </c>
      <c r="G63" s="259" t="s">
        <v>250</v>
      </c>
      <c r="H63" s="243"/>
      <c r="I63" s="256"/>
      <c r="J63" s="258"/>
    </row>
    <row r="64" spans="1:13" ht="23.4" customHeight="1" x14ac:dyDescent="0.4">
      <c r="A64" s="74"/>
      <c r="B64" s="59" t="s">
        <v>251</v>
      </c>
      <c r="C64" s="78"/>
      <c r="D64" s="59" t="s">
        <v>252</v>
      </c>
      <c r="E64" s="116"/>
      <c r="F64" s="71"/>
      <c r="G64" s="252" t="s">
        <v>253</v>
      </c>
      <c r="H64" s="253"/>
      <c r="I64" s="249" t="s">
        <v>310</v>
      </c>
      <c r="J64" s="250"/>
      <c r="K64" s="74"/>
    </row>
    <row r="65" spans="1:11" ht="23.4" customHeight="1" x14ac:dyDescent="0.4">
      <c r="B65" s="63" t="s">
        <v>254</v>
      </c>
      <c r="C65" s="77"/>
      <c r="D65" s="61" t="s">
        <v>255</v>
      </c>
      <c r="E65" s="81"/>
      <c r="F65" s="109"/>
      <c r="G65" s="242" t="s">
        <v>256</v>
      </c>
      <c r="H65" s="243"/>
      <c r="I65" s="239"/>
      <c r="J65" s="251"/>
    </row>
    <row r="66" spans="1:11" ht="23.4" customHeight="1" x14ac:dyDescent="0.4">
      <c r="B66" s="59" t="s">
        <v>257</v>
      </c>
      <c r="C66" s="71"/>
      <c r="D66" s="59" t="s">
        <v>258</v>
      </c>
      <c r="E66" s="116"/>
      <c r="F66" s="71"/>
      <c r="G66" s="254" t="s">
        <v>259</v>
      </c>
      <c r="H66" s="253"/>
      <c r="I66" s="249" t="s">
        <v>327</v>
      </c>
      <c r="J66" s="250"/>
    </row>
    <row r="67" spans="1:11" ht="23.4" customHeight="1" x14ac:dyDescent="0.4">
      <c r="B67" s="61" t="s">
        <v>260</v>
      </c>
      <c r="C67" s="80"/>
      <c r="D67" s="61" t="s">
        <v>261</v>
      </c>
      <c r="E67" s="81"/>
      <c r="F67" s="83"/>
      <c r="G67" s="259" t="s">
        <v>262</v>
      </c>
      <c r="H67" s="243"/>
      <c r="I67" s="239"/>
      <c r="J67" s="251"/>
    </row>
    <row r="68" spans="1:11" ht="5.25" customHeight="1" x14ac:dyDescent="0.3">
      <c r="B68" s="272"/>
      <c r="C68" s="273"/>
      <c r="D68" s="273"/>
      <c r="E68" s="273"/>
      <c r="F68" s="273"/>
      <c r="G68" s="273"/>
      <c r="H68" s="273"/>
      <c r="I68" s="273"/>
      <c r="J68" s="274"/>
    </row>
    <row r="69" spans="1:11" ht="21" x14ac:dyDescent="0.3">
      <c r="B69" s="260" t="s">
        <v>263</v>
      </c>
      <c r="C69" s="117" t="s">
        <v>264</v>
      </c>
      <c r="D69" s="264" t="s">
        <v>306</v>
      </c>
      <c r="E69" s="265"/>
      <c r="F69" s="118" t="s">
        <v>265</v>
      </c>
      <c r="G69" s="119" t="s">
        <v>266</v>
      </c>
      <c r="H69" s="268" t="s">
        <v>319</v>
      </c>
      <c r="I69" s="119" t="s">
        <v>267</v>
      </c>
      <c r="J69" s="270" t="s">
        <v>319</v>
      </c>
    </row>
    <row r="70" spans="1:11" ht="21.6" customHeight="1" x14ac:dyDescent="0.3">
      <c r="B70" s="261"/>
      <c r="C70" s="120" t="s">
        <v>268</v>
      </c>
      <c r="D70" s="266"/>
      <c r="E70" s="267"/>
      <c r="F70" s="121" t="s">
        <v>269</v>
      </c>
      <c r="G70" s="122" t="s">
        <v>270</v>
      </c>
      <c r="H70" s="269"/>
      <c r="I70" s="122" t="s">
        <v>271</v>
      </c>
      <c r="J70" s="271"/>
    </row>
    <row r="71" spans="1:11" ht="21" x14ac:dyDescent="0.3">
      <c r="B71" s="262"/>
      <c r="C71" s="123" t="s">
        <v>272</v>
      </c>
      <c r="D71" s="124" t="s">
        <v>273</v>
      </c>
      <c r="E71" s="117" t="s">
        <v>274</v>
      </c>
      <c r="F71" s="118" t="s">
        <v>275</v>
      </c>
      <c r="G71" s="119" t="s">
        <v>266</v>
      </c>
      <c r="H71" s="268" t="s">
        <v>333</v>
      </c>
      <c r="I71" s="119" t="s">
        <v>267</v>
      </c>
      <c r="J71" s="268" t="s">
        <v>333</v>
      </c>
    </row>
    <row r="72" spans="1:11" ht="42" customHeight="1" x14ac:dyDescent="0.3">
      <c r="B72" s="263"/>
      <c r="C72" s="125">
        <v>0.375</v>
      </c>
      <c r="D72" s="125">
        <v>0.41666666666666669</v>
      </c>
      <c r="E72" s="126" t="s">
        <v>276</v>
      </c>
      <c r="F72" s="121" t="s">
        <v>277</v>
      </c>
      <c r="G72" s="127" t="s">
        <v>270</v>
      </c>
      <c r="H72" s="269"/>
      <c r="I72" s="127" t="s">
        <v>271</v>
      </c>
      <c r="J72" s="269"/>
    </row>
    <row r="73" spans="1:11" ht="21.6" customHeight="1" x14ac:dyDescent="0.3">
      <c r="B73" s="128" t="s">
        <v>278</v>
      </c>
      <c r="C73" s="275">
        <v>85.8</v>
      </c>
      <c r="D73" s="275">
        <v>84.2</v>
      </c>
      <c r="E73" s="277">
        <f>1-(D73/C73)</f>
        <v>1.8648018648018572E-2</v>
      </c>
      <c r="F73" s="279" t="s">
        <v>279</v>
      </c>
      <c r="G73" s="282"/>
      <c r="H73" s="283"/>
      <c r="I73" s="283"/>
      <c r="J73" s="284"/>
    </row>
    <row r="74" spans="1:11" ht="21.6" customHeight="1" x14ac:dyDescent="0.3">
      <c r="B74" s="129" t="s">
        <v>280</v>
      </c>
      <c r="C74" s="276"/>
      <c r="D74" s="276"/>
      <c r="E74" s="278"/>
      <c r="F74" s="280"/>
      <c r="G74" s="285"/>
      <c r="H74" s="286"/>
      <c r="I74" s="286"/>
      <c r="J74" s="287"/>
    </row>
    <row r="75" spans="1:11" ht="21.6" customHeight="1" x14ac:dyDescent="0.3">
      <c r="B75" s="128" t="s">
        <v>281</v>
      </c>
      <c r="C75" s="275">
        <v>93.1</v>
      </c>
      <c r="D75" s="275">
        <v>90.4</v>
      </c>
      <c r="E75" s="277">
        <f>1-(D75/C75)</f>
        <v>2.9001074113855996E-2</v>
      </c>
      <c r="F75" s="280"/>
      <c r="G75" s="285"/>
      <c r="H75" s="286"/>
      <c r="I75" s="286"/>
      <c r="J75" s="287"/>
    </row>
    <row r="76" spans="1:11" ht="21.6" customHeight="1" x14ac:dyDescent="0.3">
      <c r="B76" s="129" t="s">
        <v>282</v>
      </c>
      <c r="C76" s="276"/>
      <c r="D76" s="276"/>
      <c r="E76" s="278"/>
      <c r="F76" s="280"/>
      <c r="G76" s="285"/>
      <c r="H76" s="286"/>
      <c r="I76" s="286"/>
      <c r="J76" s="287"/>
    </row>
    <row r="77" spans="1:11" ht="21" customHeight="1" x14ac:dyDescent="0.3">
      <c r="B77" s="128" t="s">
        <v>283</v>
      </c>
      <c r="C77" s="291"/>
      <c r="D77" s="291"/>
      <c r="E77" s="301" t="e">
        <f>1-(D77/C77)</f>
        <v>#DIV/0!</v>
      </c>
      <c r="F77" s="280"/>
      <c r="G77" s="285"/>
      <c r="H77" s="286"/>
      <c r="I77" s="286"/>
      <c r="J77" s="287"/>
    </row>
    <row r="78" spans="1:11" ht="21" customHeight="1" x14ac:dyDescent="0.3">
      <c r="B78" s="129" t="s">
        <v>284</v>
      </c>
      <c r="C78" s="292"/>
      <c r="D78" s="292"/>
      <c r="E78" s="302"/>
      <c r="F78" s="281"/>
      <c r="G78" s="288"/>
      <c r="H78" s="289"/>
      <c r="I78" s="289"/>
      <c r="J78" s="290"/>
    </row>
    <row r="79" spans="1:11" s="74" customFormat="1" ht="21.6" customHeight="1" x14ac:dyDescent="0.3">
      <c r="A79" s="55"/>
      <c r="B79" s="128" t="s">
        <v>285</v>
      </c>
      <c r="C79" s="291"/>
      <c r="D79" s="291"/>
      <c r="E79" s="301" t="e">
        <f>1-(D79/C79)</f>
        <v>#DIV/0!</v>
      </c>
      <c r="F79" s="130" t="s">
        <v>286</v>
      </c>
      <c r="G79" s="303" t="s">
        <v>314</v>
      </c>
      <c r="H79" s="305"/>
      <c r="I79" s="306"/>
      <c r="J79" s="307"/>
      <c r="K79" s="55"/>
    </row>
    <row r="80" spans="1:11" ht="21" customHeight="1" x14ac:dyDescent="0.3">
      <c r="B80" s="129" t="s">
        <v>287</v>
      </c>
      <c r="C80" s="292"/>
      <c r="D80" s="292"/>
      <c r="E80" s="302"/>
      <c r="F80" s="131" t="s">
        <v>288</v>
      </c>
      <c r="G80" s="304"/>
      <c r="H80" s="308"/>
      <c r="I80" s="309"/>
      <c r="J80" s="310"/>
    </row>
    <row r="81" spans="1:11" ht="30" customHeight="1" x14ac:dyDescent="0.3">
      <c r="A81" s="74"/>
      <c r="B81" s="132" t="s">
        <v>289</v>
      </c>
      <c r="C81" s="295" t="s">
        <v>305</v>
      </c>
      <c r="D81" s="297"/>
      <c r="E81" s="133" t="s">
        <v>290</v>
      </c>
      <c r="F81" s="293">
        <v>45758</v>
      </c>
      <c r="G81" s="133" t="s">
        <v>291</v>
      </c>
      <c r="H81" s="295"/>
      <c r="I81" s="296"/>
      <c r="J81" s="297"/>
      <c r="K81" s="74"/>
    </row>
    <row r="82" spans="1:11" ht="28.2" customHeight="1" x14ac:dyDescent="0.3">
      <c r="B82" s="134" t="s">
        <v>292</v>
      </c>
      <c r="C82" s="298"/>
      <c r="D82" s="300"/>
      <c r="E82" s="135" t="s">
        <v>293</v>
      </c>
      <c r="F82" s="294"/>
      <c r="G82" s="135" t="s">
        <v>0</v>
      </c>
      <c r="H82" s="298"/>
      <c r="I82" s="299"/>
      <c r="J82" s="300"/>
    </row>
    <row r="83" spans="1:11" x14ac:dyDescent="0.3">
      <c r="F83" s="136"/>
    </row>
    <row r="84" spans="1:11" x14ac:dyDescent="0.3">
      <c r="F84" s="136" t="s">
        <v>294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2025-04-16T09:03:08Z</cp:lastPrinted>
  <dcterms:created xsi:type="dcterms:W3CDTF">2001-08-01T17:12:05Z</dcterms:created>
  <dcterms:modified xsi:type="dcterms:W3CDTF">2025-04-16T09:03:11Z</dcterms:modified>
</cp:coreProperties>
</file>