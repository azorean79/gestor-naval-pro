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88B44DEB-71D8-41C2-BEB5-172F5165ED6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58" i="10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<sst xmlns="http://schemas.openxmlformats.org/spreadsheetml/2006/main" count="363" uniqueCount="328">
  <si>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</si>
  <si>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</si>
  <si>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</si>
  <si>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</si>
  <si>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</si>
  <si>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</si>
  <si>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</si>
  <si>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</si>
  <si>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</si>
  <si>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</si>
  <si>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</si>
  <si>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</si>
  <si>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</si>
  <si>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</si>
  <si>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</si>
  <si>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</si>
  <si>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</si>
  <si>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</si>
  <si>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</si>
  <si>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</si>
  <si>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</si>
  <si>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</si>
  <si>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</si>
  <si>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</si>
  <si>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</si>
  <si>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</si>
  <si>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</si>
  <si>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</si>
  <si>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</si>
  <si>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</si>
  <si>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</si>
  <si>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</si>
  <si>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</si>
  <si>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</si>
  <si>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</si>
  <si>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</si>
  <si>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</si>
  <si>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</si>
  <si>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</si>
  <si>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</si>
  <si>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</si>
  <si>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</si>
  <si>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</si>
  <si>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</si>
  <si>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</si>
  <si>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</si>
  <si>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</si>
  <si>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</si>
  <si>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</si>
  <si>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</si>
  <si>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</si>
  <si>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</si>
  <si>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</si>
  <si>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</si>
  <si>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</si>
  <si>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</si>
  <si>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</si>
  <si>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</si>
  <si>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</si>
  <si>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</si>
  <si>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</si>
  <si>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</si>
  <si>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</si>
  <si>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</si>
  <si>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</si>
  <si>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</si>
  <si>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</si>
  <si>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</si>
  <si>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</si>
  <si>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</si>
  <si>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</si>
  <si>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</si>
  <si>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</si>
  <si>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</si>
  <si>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</si>
  <si>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</si>
  <si>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</si>
  <si>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</si>
  <si>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</si>
  <si>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</si>
  <si>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</si>
  <si>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</si>
  <si>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</si>
  <si>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</si>
  <si>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</si>
  <si>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</si>
  <si>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</si>
  <si>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</si>
  <si>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</si>
  <si>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</si>
  <si>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</si>
  <si>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</si>
  <si>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</si>
  <si>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</si>
  <si>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</si>
  <si>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</si>
  <si>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</si>
  <si>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</si>
  <si>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</si>
  <si>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</si>
  <si>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</si>
  <si>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</si>
  <si>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</si>
  <si>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</si>
  <si>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</si>
  <si>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</si>
  <si>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</si>
  <si>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</si>
  <si>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</si>
  <si>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</si>
  <si>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</si>
  <si>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</si>
  <si>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</si>
  <si>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</si>
  <si>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</si>
  <si>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</si>
  <si>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</si>
  <si>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</si>
  <si>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</si>
  <si>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</si>
  <si>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</si>
  <si>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</si>
  <si>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</si>
  <si>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</si>
  <si>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</si>
  <si>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</si>
  <si>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</si>
  <si>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</si>
  <si>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</si>
  <si>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</si>
  <si>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</si>
  <si>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</si>
  <si>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</si>
  <si>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</si>
  <si>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</si>
  <si>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</si>
  <si>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</si>
  <si>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</si>
  <si>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</si>
  <si>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</si>
  <si>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</si>
  <si>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</si>
  <si>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</si>
  <si>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</si>
  <si>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</si>
  <si>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</si>
  <si>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</si>
  <si>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</si>
  <si>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</si>
  <si>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</si>
  <si>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</si>
  <si>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</si>
  <si>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</si>
  <si>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</si>
  <si>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</si>
  <si>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</si>
  <si>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</si>
  <si>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</si>
  <si>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</si>
  <si>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</si>
  <si>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</si>
  <si>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</si>
  <si>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</si>
  <si>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</si>
  <si>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</si>
  <si>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</si>
  <si>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</si>
  <si>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</si>
  <si>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</si>
  <si>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</si>
  <si>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</si>
  <si>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</si>
  <si>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</si>
  <si>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</si>
  <si>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</si>
  <si>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</si>
  <si>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</si>
  <si>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</si>
  <si>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</si>
  <si>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</si>
  <si>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</si>
  <si>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</si>
  <si>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</si>
  <si>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</si>
  <si>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</si>
  <si>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</si>
  <si>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</si>
  <si>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</si>
  <si>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</si>
  <si>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</si>
  <si>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</si>
  <si>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</si>
  <si>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</si>
  <si>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</si>
  <si>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</si>
  <si>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</si>
  <si>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</si>
  <si>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</si>
  <si>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</si>
  <si>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</si>
  <si>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</si>
  <si>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</si>
  <si>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</si>
  <si>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</si>
  <si>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</si>
  <si>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</si>
  <si>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</si>
  <si>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</si>
  <si>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</si>
  <si>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</si>
  <si>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</si>
  <si>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</si>
  <si>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</si>
  <si>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</si>
  <si>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</si>
  <si>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</si>
  <si>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</si>
  <si>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</si>
  <si>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</si>
  <si>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</si>
  <si>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</si>
  <si>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</si>
  <si>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</si>
  <si>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</si>
  <si>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</si>
  <si>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</si>
  <si>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</si>
  <si>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</si>
  <si>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</si>
  <si>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</si>
  <si>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</si>
  <si>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</si>
  <si>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</si>
  <si>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</si>
  <si>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</si>
  <si>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</si>
  <si>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</si>
  <si>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</si>
  <si>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</si>
  <si>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</si>
  <si>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</si>
  <si>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</si>
  <si>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</si>
  <si>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</si>
  <si>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</si>
  <si>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</si>
  <si>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</si>
  <si>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</si>
  <si>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</si>
  <si>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</si>
  <si>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</si>
  <si>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</si>
  <si>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</si>
  <si>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</si>
  <si>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</si>
  <si>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</si>
  <si>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</si>
  <si>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</si>
  <si>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</si>
  <si>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</si>
  <si>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</si>
  <si>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</si>
  <si>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</si>
  <si>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</si>
  <si>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</si>
  <si>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</si>
  <si>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</si>
  <si>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</si>
  <si>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</si>
  <si>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</si>
  <si>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</si>
  <si>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</si>
  <si>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</si>
  <si>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</si>
  <si>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</si>
  <si>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</si>
  <si>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</si>
  <si>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</si>
  <si>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</si>
  <si>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</si>
  <si>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</si>
  <si>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</si>
  <si>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</si>
  <si>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</si>
  <si>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</si>
  <si>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</si>
  <si>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</si>
  <si>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</si>
  <si>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</si>
  <si>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</si>
  <si>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</si>
  <si>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</si>
  <si>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</si>
  <si>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</si>
  <si>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</si>
  <si>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</si>
  <si>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</si>
  <si>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</si>
  <si>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</si>
  <si>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</si>
  <si>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</si>
  <si>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</si>
  <si>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</si>
  <si>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</si>
  <si>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</si>
  <si>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</si>
  <si>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</si>
  <si>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</si>
  <si>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</si>
  <si>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</si>
  <si>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</si>
  <si>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0,160</t>
  </si>
  <si>
    <t>R</t>
  </si>
  <si>
    <t>1013 Hpa</t>
  </si>
  <si>
    <t>15 Cº</t>
  </si>
  <si>
    <t>PORTUGAL</t>
  </si>
  <si>
    <t>PÃO SAGRADO</t>
  </si>
  <si>
    <t>5017330300356</t>
  </si>
  <si>
    <t>21w152049</t>
  </si>
  <si>
    <t>12,551</t>
  </si>
  <si>
    <t>9,891</t>
  </si>
  <si>
    <t>08/21</t>
  </si>
  <si>
    <t>08/06/2022</t>
  </si>
  <si>
    <t xml:space="preserve">inH2O [ ] inHg [   ] mbar [ X] </t>
  </si>
  <si>
    <t>AZ25-217</t>
  </si>
  <si>
    <t>12/2026</t>
  </si>
  <si>
    <t>B10</t>
  </si>
  <si>
    <t>MARCO JOAO MONIZ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</si>
</sst>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54</xdr:row>
      <xdr:rowOff>77416</xdr:rowOff>
    </xdr:from>
    <xdr:to>
      <xdr:col>20</xdr:col>
      <xdr:colOff>363745</xdr:colOff>
      <xdr:row>65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5025" y="877374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35" workbookViewId="0">
      <selection activeCell="O63" sqref="O6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AZ25-217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>RFD SEASAVA</v>
      </c>
      <c r="D12" s="139"/>
      <c r="E12" s="209"/>
      <c r="F12" s="140"/>
      <c r="G12" s="138">
        <f>QUADRO!J7</f>
        <v>8</v>
      </c>
      <c r="H12" s="140"/>
      <c r="I12" s="184" t="str">
        <f>QUADRO!C7</f>
        <v>5017330300356</v>
      </c>
      <c r="J12" s="185"/>
      <c r="K12" s="203" t="str">
        <f>QUADRO!G79</f>
        <v>08/06/2022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302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21w152049</v>
      </c>
      <c r="D19" s="171"/>
      <c r="E19" s="171"/>
      <c r="F19" s="172"/>
      <c r="G19" s="200">
        <f>QUADRO!I62</f>
        <v>2.5</v>
      </c>
      <c r="H19" s="200"/>
      <c r="I19" s="200" t="str">
        <f>QUADRO!I64</f>
        <v>0,160</v>
      </c>
      <c r="J19" s="200"/>
      <c r="K19" s="201" t="str">
        <f>QUADRO!I66</f>
        <v>08/21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R</v>
      </c>
      <c r="H26" s="169"/>
      <c r="I26" s="182" t="str">
        <f>QUADRO!C7</f>
        <v>5017330300356</v>
      </c>
      <c r="J26" s="183"/>
      <c r="K26" s="194">
        <f>QUADRO!F81+366</f>
        <v>46367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/>
      <c r="H34" s="166"/>
      <c r="I34" s="188"/>
      <c r="J34" s="166"/>
      <c r="K34" s="182"/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301</v>
      </c>
      <c r="F40" s="148"/>
      <c r="G40" s="35" t="s">
        <v>52</v>
      </c>
      <c r="H40" s="166" t="s">
        <v>301</v>
      </c>
      <c r="I40" s="35" t="s">
        <v>73</v>
      </c>
      <c r="J40" s="166" t="s">
        <v>301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/>
      <c r="F42" s="169"/>
      <c r="G42" s="35" t="s">
        <v>54</v>
      </c>
      <c r="H42" s="167"/>
      <c r="I42" s="35" t="s">
        <v>54</v>
      </c>
      <c r="J42" s="167"/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46001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46366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309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305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306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1" t="s">
        <v>315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PÃO SAGRADO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327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0" t="s">
        <v>308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81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47" zoomScale="48" zoomScaleNormal="48" workbookViewId="0">
      <selection activeCell="O63" sqref="O6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3" t="s">
        <v>86</v>
      </c>
      <c r="E3" s="293"/>
      <c r="F3" s="293"/>
      <c r="G3" s="293"/>
      <c r="H3" s="294" t="s">
        <v>87</v>
      </c>
      <c r="I3" s="296"/>
      <c r="J3" s="297"/>
    </row>
    <row r="4" spans="2:15" s="58" customFormat="1" ht="23.4" customHeight="1" x14ac:dyDescent="0.4">
      <c r="B4" s="56" t="s">
        <v>88</v>
      </c>
      <c r="C4" s="57"/>
      <c r="D4" s="298" t="s">
        <v>89</v>
      </c>
      <c r="E4" s="298"/>
      <c r="F4" s="298"/>
      <c r="G4" s="298"/>
      <c r="H4" s="295"/>
      <c r="I4" s="297"/>
      <c r="J4" s="297"/>
    </row>
    <row r="5" spans="2:15" s="58" customFormat="1" ht="23.4" customHeight="1" x14ac:dyDescent="0.4">
      <c r="B5" s="56" t="s">
        <v>90</v>
      </c>
      <c r="C5" s="56"/>
      <c r="H5" s="299" t="s">
        <v>91</v>
      </c>
      <c r="I5" s="301" t="s">
        <v>324</v>
      </c>
      <c r="J5" s="30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0"/>
      <c r="I6" s="303"/>
      <c r="J6" s="303"/>
    </row>
    <row r="7" spans="2:15" ht="23.4" customHeight="1" x14ac:dyDescent="0.3">
      <c r="B7" s="59" t="s">
        <v>92</v>
      </c>
      <c r="C7" s="277" t="s">
        <v>317</v>
      </c>
      <c r="D7" s="59" t="s">
        <v>93</v>
      </c>
      <c r="E7" s="279" t="s">
        <v>316</v>
      </c>
      <c r="F7" s="280"/>
      <c r="G7" s="60" t="s">
        <v>94</v>
      </c>
      <c r="H7" s="279" t="s">
        <v>303</v>
      </c>
      <c r="I7" s="288"/>
      <c r="J7" s="291">
        <v>8</v>
      </c>
    </row>
    <row r="8" spans="2:15" ht="23.4" customHeight="1" x14ac:dyDescent="0.3">
      <c r="B8" s="61" t="s">
        <v>95</v>
      </c>
      <c r="C8" s="278"/>
      <c r="D8" s="61" t="s">
        <v>96</v>
      </c>
      <c r="E8" s="281"/>
      <c r="F8" s="282"/>
      <c r="G8" s="62" t="s">
        <v>97</v>
      </c>
      <c r="H8" s="289"/>
      <c r="I8" s="290"/>
      <c r="J8" s="29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/>
      <c r="J15" s="83" t="s">
        <v>325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 t="s">
        <v>325</v>
      </c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326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312</v>
      </c>
      <c r="G47" s="61"/>
      <c r="H47" s="81"/>
      <c r="I47" s="105"/>
      <c r="J47" s="106"/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310</v>
      </c>
      <c r="D49" s="61" t="s">
        <v>213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3" t="s">
        <v>232</v>
      </c>
      <c r="H56" s="284"/>
      <c r="I56" s="285" t="s">
        <v>318</v>
      </c>
      <c r="J56" s="286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6" t="s">
        <v>235</v>
      </c>
      <c r="H57" s="255"/>
      <c r="I57" s="251"/>
      <c r="J57" s="287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5" t="s">
        <v>238</v>
      </c>
      <c r="H58" s="249"/>
      <c r="I58" s="250" t="s">
        <v>319</v>
      </c>
      <c r="J58" s="252"/>
      <c r="M58" s="137">
        <f>I58-I62-I64</f>
        <v>9.891</v>
      </c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6" t="s">
        <v>241</v>
      </c>
      <c r="H59" s="255"/>
      <c r="I59" s="251"/>
      <c r="J59" s="253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5" t="s">
        <v>244</v>
      </c>
      <c r="H60" s="249"/>
      <c r="I60" s="250" t="s">
        <v>320</v>
      </c>
      <c r="J60" s="252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6" t="s">
        <v>247</v>
      </c>
      <c r="H61" s="255"/>
      <c r="I61" s="251"/>
      <c r="J61" s="253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48" t="s">
        <v>250</v>
      </c>
      <c r="H62" s="249"/>
      <c r="I62" s="271">
        <v>2.5</v>
      </c>
      <c r="J62" s="273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54" t="s">
        <v>253</v>
      </c>
      <c r="H63" s="255"/>
      <c r="I63" s="272"/>
      <c r="J63" s="274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5" t="s">
        <v>256</v>
      </c>
      <c r="H64" s="249"/>
      <c r="I64" s="250" t="s">
        <v>311</v>
      </c>
      <c r="J64" s="252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76" t="s">
        <v>259</v>
      </c>
      <c r="H65" s="255"/>
      <c r="I65" s="251"/>
      <c r="J65" s="253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48" t="s">
        <v>262</v>
      </c>
      <c r="H66" s="249"/>
      <c r="I66" s="250" t="s">
        <v>321</v>
      </c>
      <c r="J66" s="252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4" t="s">
        <v>265</v>
      </c>
      <c r="H67" s="255"/>
      <c r="I67" s="251"/>
      <c r="J67" s="253"/>
    </row>
    <row r="68" spans="1:11" ht="5.25" customHeight="1" x14ac:dyDescent="0.3">
      <c r="B68" s="256"/>
      <c r="C68" s="257"/>
      <c r="D68" s="257"/>
      <c r="E68" s="257"/>
      <c r="F68" s="257"/>
      <c r="G68" s="257"/>
      <c r="H68" s="257"/>
      <c r="I68" s="257"/>
      <c r="J68" s="258"/>
    </row>
    <row r="69" spans="1:11" ht="21" x14ac:dyDescent="0.3">
      <c r="B69" s="259" t="s">
        <v>266</v>
      </c>
      <c r="C69" s="117" t="s">
        <v>267</v>
      </c>
      <c r="D69" s="263" t="s">
        <v>323</v>
      </c>
      <c r="E69" s="264"/>
      <c r="F69" s="118" t="s">
        <v>268</v>
      </c>
      <c r="G69" s="119" t="s">
        <v>269</v>
      </c>
      <c r="H69" s="267" t="s">
        <v>314</v>
      </c>
      <c r="I69" s="119" t="s">
        <v>270</v>
      </c>
      <c r="J69" s="269" t="s">
        <v>314</v>
      </c>
    </row>
    <row r="70" spans="1:11" ht="21.6" customHeight="1" x14ac:dyDescent="0.3">
      <c r="B70" s="260"/>
      <c r="C70" s="120" t="s">
        <v>271</v>
      </c>
      <c r="D70" s="265"/>
      <c r="E70" s="266"/>
      <c r="F70" s="121" t="s">
        <v>272</v>
      </c>
      <c r="G70" s="122" t="s">
        <v>273</v>
      </c>
      <c r="H70" s="268"/>
      <c r="I70" s="122" t="s">
        <v>274</v>
      </c>
      <c r="J70" s="270"/>
    </row>
    <row r="71" spans="1:11" ht="21" x14ac:dyDescent="0.3">
      <c r="B71" s="261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7" t="s">
        <v>313</v>
      </c>
      <c r="I71" s="119" t="s">
        <v>270</v>
      </c>
      <c r="J71" s="267" t="s">
        <v>313</v>
      </c>
    </row>
    <row r="72" spans="1:11" ht="42" customHeight="1" x14ac:dyDescent="0.3">
      <c r="B72" s="262"/>
      <c r="C72" s="125">
        <v>0.66666666666666663</v>
      </c>
      <c r="D72" s="125">
        <v>0.70833333333333337</v>
      </c>
      <c r="E72" s="126" t="s">
        <v>279</v>
      </c>
      <c r="F72" s="121" t="s">
        <v>280</v>
      </c>
      <c r="G72" s="127" t="s">
        <v>273</v>
      </c>
      <c r="H72" s="268"/>
      <c r="I72" s="127" t="s">
        <v>274</v>
      </c>
      <c r="J72" s="268"/>
    </row>
    <row r="73" spans="1:11" ht="21.6" customHeight="1" x14ac:dyDescent="0.3">
      <c r="B73" s="128" t="s">
        <v>281</v>
      </c>
      <c r="C73" s="234">
        <v>209</v>
      </c>
      <c r="D73" s="234">
        <v>207</v>
      </c>
      <c r="E73" s="224">
        <f>1-(D73/C73)</f>
        <v>9.5693779904306719E-3</v>
      </c>
      <c r="F73" s="236" t="s">
        <v>282</v>
      </c>
      <c r="G73" s="239"/>
      <c r="H73" s="240"/>
      <c r="I73" s="240"/>
      <c r="J73" s="241"/>
    </row>
    <row r="74" spans="1:11" ht="21.6" customHeight="1" x14ac:dyDescent="0.3">
      <c r="B74" s="129" t="s">
        <v>283</v>
      </c>
      <c r="C74" s="235"/>
      <c r="D74" s="235"/>
      <c r="E74" s="225"/>
      <c r="F74" s="237"/>
      <c r="G74" s="242"/>
      <c r="H74" s="243"/>
      <c r="I74" s="243"/>
      <c r="J74" s="244"/>
    </row>
    <row r="75" spans="1:11" ht="21.6" customHeight="1" x14ac:dyDescent="0.3">
      <c r="B75" s="128" t="s">
        <v>284</v>
      </c>
      <c r="C75" s="234">
        <v>215</v>
      </c>
      <c r="D75" s="234">
        <v>212</v>
      </c>
      <c r="E75" s="224">
        <f>1-(D75/C75)</f>
        <v>1.3953488372092981E-2</v>
      </c>
      <c r="F75" s="237"/>
      <c r="G75" s="242"/>
      <c r="H75" s="243"/>
      <c r="I75" s="243"/>
      <c r="J75" s="244"/>
    </row>
    <row r="76" spans="1:11" ht="21.6" customHeight="1" x14ac:dyDescent="0.3">
      <c r="B76" s="129" t="s">
        <v>285</v>
      </c>
      <c r="C76" s="235"/>
      <c r="D76" s="235"/>
      <c r="E76" s="225"/>
      <c r="F76" s="237"/>
      <c r="G76" s="242"/>
      <c r="H76" s="243"/>
      <c r="I76" s="243"/>
      <c r="J76" s="244"/>
    </row>
    <row r="77" spans="1:11" ht="21" customHeight="1" x14ac:dyDescent="0.3">
      <c r="B77" s="128" t="s">
        <v>286</v>
      </c>
      <c r="C77" s="222"/>
      <c r="D77" s="222"/>
      <c r="E77" s="224" t="e">
        <f>1-(D77/C77)</f>
        <v>#DIV/0!</v>
      </c>
      <c r="F77" s="237"/>
      <c r="G77" s="242"/>
      <c r="H77" s="243"/>
      <c r="I77" s="243"/>
      <c r="J77" s="244"/>
    </row>
    <row r="78" spans="1:11" ht="21" customHeight="1" x14ac:dyDescent="0.3">
      <c r="B78" s="129" t="s">
        <v>287</v>
      </c>
      <c r="C78" s="223"/>
      <c r="D78" s="223"/>
      <c r="E78" s="225"/>
      <c r="F78" s="238"/>
      <c r="G78" s="245"/>
      <c r="H78" s="246"/>
      <c r="I78" s="246"/>
      <c r="J78" s="247"/>
    </row>
    <row r="79" spans="1:11" s="74" customFormat="1" ht="21.6" customHeight="1" x14ac:dyDescent="0.3">
      <c r="A79" s="55"/>
      <c r="B79" s="128" t="s">
        <v>288</v>
      </c>
      <c r="C79" s="222"/>
      <c r="D79" s="222"/>
      <c r="E79" s="224" t="e">
        <f>1-(D79/C79)</f>
        <v>#DIV/0!</v>
      </c>
      <c r="F79" s="130" t="s">
        <v>289</v>
      </c>
      <c r="G79" s="226" t="s">
        <v>322</v>
      </c>
      <c r="H79" s="228"/>
      <c r="I79" s="229"/>
      <c r="J79" s="230"/>
      <c r="K79" s="55"/>
    </row>
    <row r="80" spans="1:11" ht="21" customHeight="1" x14ac:dyDescent="0.3">
      <c r="B80" s="129" t="s">
        <v>290</v>
      </c>
      <c r="C80" s="223"/>
      <c r="D80" s="223"/>
      <c r="E80" s="225"/>
      <c r="F80" s="131" t="s">
        <v>291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292</v>
      </c>
      <c r="C81" s="216" t="s">
        <v>307</v>
      </c>
      <c r="D81" s="218"/>
      <c r="E81" s="133" t="s">
        <v>293</v>
      </c>
      <c r="F81" s="214">
        <v>46001</v>
      </c>
      <c r="G81" s="133" t="s">
        <v>294</v>
      </c>
      <c r="H81" s="216"/>
      <c r="I81" s="217"/>
      <c r="J81" s="218"/>
      <c r="K81" s="74"/>
    </row>
    <row r="82" spans="1:11" ht="28.2" customHeight="1" x14ac:dyDescent="0.3">
      <c r="B82" s="134" t="s">
        <v>295</v>
      </c>
      <c r="C82" s="219"/>
      <c r="D82" s="221"/>
      <c r="E82" s="135" t="s">
        <v>296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2025-12-11T11:45:21Z</cp:lastPrinted>
  <dcterms:created xsi:type="dcterms:W3CDTF">2001-08-01T17:12:05Z</dcterms:created>
  <dcterms:modified xsi:type="dcterms:W3CDTF">2025-12-11T11:45:26Z</dcterms:modified>
</cp:coreProperties>
</file>