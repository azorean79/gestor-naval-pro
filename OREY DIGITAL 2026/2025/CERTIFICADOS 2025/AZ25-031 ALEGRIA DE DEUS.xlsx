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A89043EF-4C97-49DC-A2DF-0A8BA0AE555F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K34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<sst xmlns="http://schemas.openxmlformats.org/spreadsheetml/2006/main" count="374" uniqueCount="335">
  <si>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</si>
  <si>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</si>
  <si>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</si>
  <si>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</si>
  <si>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</si>
  <si>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</si>
  <si>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</si>
  <si>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</si>
  <si>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</si>
  <si>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</si>
  <si>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</si>
  <si>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</si>
  <si>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</si>
  <si>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</si>
  <si>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</si>
  <si>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</si>
  <si>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</si>
  <si>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</si>
  <si>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</si>
  <si>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</si>
  <si>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</si>
  <si>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</si>
  <si>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</si>
  <si>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</si>
  <si>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</si>
  <si>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</si>
  <si>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</si>
  <si>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</si>
  <si>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</si>
  <si>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</si>
  <si>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</si>
  <si>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</si>
  <si>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</si>
  <si>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</si>
  <si>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</si>
  <si>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</si>
  <si>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</si>
  <si>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</si>
  <si>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</si>
  <si>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</si>
  <si>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</si>
  <si>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</si>
  <si>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</si>
  <si>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</si>
  <si>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</si>
  <si>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</si>
  <si>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</si>
  <si>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</si>
  <si>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</si>
  <si>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</si>
  <si>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</si>
  <si>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</si>
  <si>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</si>
  <si>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</si>
  <si>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</si>
  <si>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</si>
  <si>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</si>
  <si>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</si>
  <si>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</si>
  <si>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</si>
  <si>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</si>
  <si>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</si>
  <si>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</si>
  <si>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</si>
  <si>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</si>
  <si>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</si>
  <si>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</si>
  <si>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</si>
  <si>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</si>
  <si>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</si>
  <si>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</si>
  <si>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</si>
  <si>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</si>
  <si>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</si>
  <si>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</si>
  <si>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</si>
  <si>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</si>
  <si>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</si>
  <si>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</si>
  <si>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</si>
  <si>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</si>
  <si>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</si>
  <si>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</si>
  <si>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</si>
  <si>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</si>
  <si>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</si>
  <si>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</si>
  <si>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</si>
  <si>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</si>
  <si>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</si>
  <si>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</si>
  <si>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</si>
  <si>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</si>
  <si>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</si>
  <si>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</si>
  <si>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</si>
  <si>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</si>
  <si>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</si>
  <si>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</si>
  <si>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</si>
  <si>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</si>
  <si>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</si>
  <si>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</si>
  <si>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</si>
  <si>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</si>
  <si>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</si>
  <si>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</si>
  <si>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</si>
  <si>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</si>
  <si>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</si>
  <si>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</si>
  <si>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</si>
  <si>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</si>
  <si>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</si>
  <si>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</si>
  <si>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</si>
  <si>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</si>
  <si>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</si>
  <si>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</si>
  <si>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</si>
  <si>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</si>
  <si>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</si>
  <si>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</si>
  <si>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</si>
  <si>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</si>
  <si>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</si>
  <si>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</si>
  <si>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</si>
  <si>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</si>
  <si>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</si>
  <si>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</si>
  <si>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</si>
  <si>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</si>
  <si>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</si>
  <si>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</si>
  <si>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</si>
  <si>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</si>
  <si>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</si>
  <si>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</si>
  <si>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</si>
  <si>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</si>
  <si>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</si>
  <si>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</si>
  <si>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</si>
  <si>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</si>
  <si>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</si>
  <si>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</si>
  <si>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</si>
  <si>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</si>
  <si>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</si>
  <si>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</si>
  <si>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</si>
  <si>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</si>
  <si>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</si>
  <si>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</si>
  <si>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</si>
  <si>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</si>
  <si>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</si>
  <si>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</si>
  <si>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</si>
  <si>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</si>
  <si>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</si>
  <si>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</si>
  <si>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</si>
  <si>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</si>
  <si>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</si>
  <si>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</si>
  <si>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</si>
  <si>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</si>
  <si>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</si>
  <si>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</si>
  <si>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</si>
  <si>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</si>
  <si>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</si>
  <si>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</si>
  <si>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</si>
  <si>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</si>
  <si>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</si>
  <si>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</si>
  <si>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</si>
  <si>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</si>
  <si>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</si>
  <si>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</si>
  <si>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</si>
  <si>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</si>
  <si>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</si>
  <si>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</si>
  <si>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</si>
  <si>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</si>
  <si>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</si>
  <si>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</si>
  <si>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</si>
  <si>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</si>
  <si>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</si>
  <si>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</si>
  <si>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</si>
  <si>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</si>
  <si>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</si>
  <si>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</si>
  <si>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</si>
  <si>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</si>
  <si>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</si>
  <si>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</si>
  <si>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</si>
  <si>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</si>
  <si>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</si>
  <si>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</si>
  <si>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</si>
  <si>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</si>
  <si>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</si>
  <si>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</si>
  <si>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</si>
  <si>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</si>
  <si>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</si>
  <si>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</si>
  <si>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</si>
  <si>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</si>
  <si>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</si>
  <si>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</si>
  <si>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</si>
  <si>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</si>
  <si>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</si>
  <si>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</si>
  <si>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</si>
  <si>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</si>
  <si>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</si>
  <si>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</si>
  <si>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</si>
  <si>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</si>
  <si>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</si>
  <si>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</si>
  <si>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</si>
  <si>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</si>
  <si>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</si>
  <si>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</si>
  <si>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</si>
  <si>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</si>
  <si>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</si>
  <si>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</si>
  <si>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</si>
  <si>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</si>
  <si>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</si>
  <si>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</si>
  <si>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</si>
  <si>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</si>
  <si>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</si>
  <si>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</si>
  <si>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</si>
  <si>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</si>
  <si>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</si>
  <si>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</si>
  <si>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</si>
  <si>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</si>
  <si>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</si>
  <si>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</si>
  <si>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</si>
  <si>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</si>
  <si>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</si>
  <si>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</si>
  <si>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</si>
  <si>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</si>
  <si>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</si>
  <si>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</si>
  <si>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</si>
  <si>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</si>
  <si>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</si>
  <si>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</si>
  <si>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</si>
  <si>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</si>
  <si>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</si>
  <si>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</si>
  <si>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</si>
  <si>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</si>
  <si>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</si>
  <si>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</si>
  <si>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</si>
  <si>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</si>
  <si>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</si>
  <si>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</si>
  <si>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</si>
  <si>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</si>
  <si>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</si>
  <si>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</si>
  <si>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</si>
  <si>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</si>
  <si>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</si>
  <si>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</si>
  <si>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</si>
  <si>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</si>
  <si>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</si>
  <si>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</si>
  <si>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</si>
  <si>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</si>
  <si>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</si>
  <si>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</si>
  <si>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</si>
  <si>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</si>
  <si>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</si>
  <si>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</si>
  <si>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</si>
  <si>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</si>
  <si>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</si>
  <si>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</si>
  <si>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</si>
  <si>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</si>
  <si>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</si>
  <si>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</si>
  <si>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</si>
  <si>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</si>
  <si>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ZODIAC COASTAL PT</t>
  </si>
  <si>
    <t>COASTAL</t>
  </si>
  <si>
    <t>14 MT</t>
  </si>
  <si>
    <t>A10</t>
  </si>
  <si>
    <t>18 Cº</t>
  </si>
  <si>
    <t>DK99</t>
  </si>
  <si>
    <t>ALEGRIA DE DEUS</t>
  </si>
  <si>
    <t>XDC4ES74I809</t>
  </si>
  <si>
    <t>09/2008</t>
  </si>
  <si>
    <t>RKM098</t>
  </si>
  <si>
    <t>0,140</t>
  </si>
  <si>
    <t>03/20</t>
  </si>
  <si>
    <t>-</t>
  </si>
  <si>
    <t>YES</t>
  </si>
  <si>
    <t xml:space="preserve"> 05/26</t>
  </si>
  <si>
    <t>1017 Hpa</t>
  </si>
  <si>
    <t>05/26</t>
  </si>
  <si>
    <t>PORTUGAL</t>
  </si>
  <si>
    <t>08/27</t>
  </si>
  <si>
    <t>08/2027</t>
  </si>
  <si>
    <t>AZ25-031</t>
  </si>
  <si>
    <t>(3)</t>
  </si>
  <si>
    <t>05/28</t>
  </si>
  <si>
    <t xml:space="preserve"> 08/26</t>
  </si>
  <si>
    <t>03/25</t>
  </si>
  <si>
    <t>JOSÉ SILVA MONIZ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</si>
</sst>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14</xdr:col>
      <xdr:colOff>409575</xdr:colOff>
      <xdr:row>54</xdr:row>
      <xdr:rowOff>125041</xdr:rowOff>
    </xdr:from>
    <xdr:to>
      <xdr:col>20</xdr:col>
      <xdr:colOff>68470</xdr:colOff>
      <xdr:row>65</xdr:row>
      <xdr:rowOff>76200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9750" y="8821366"/>
          <a:ext cx="3316495" cy="16847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opLeftCell="A46" workbookViewId="0">
      <selection activeCell="O69" sqref="O69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08" t="s">
        <v>75</v>
      </c>
      <c r="J3" s="208"/>
      <c r="K3" s="204" t="str">
        <f>QUADRO!I5</f>
        <v>AZ25-031</v>
      </c>
      <c r="L3" s="205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99" t="s">
        <v>76</v>
      </c>
      <c r="J4" s="199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06" t="s">
        <v>67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6"/>
    </row>
    <row r="7" spans="1:13" x14ac:dyDescent="0.25">
      <c r="A7" s="199" t="s">
        <v>2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4"/>
    </row>
    <row r="8" spans="1:13" ht="15" x14ac:dyDescent="0.25">
      <c r="A8" s="15"/>
      <c r="B8" s="207" t="s">
        <v>77</v>
      </c>
      <c r="C8" s="207"/>
      <c r="D8" s="207"/>
      <c r="E8" s="207"/>
      <c r="F8" s="207"/>
      <c r="G8" s="207"/>
      <c r="H8" s="207"/>
      <c r="I8" s="207"/>
      <c r="J8" s="207"/>
      <c r="K8" s="207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>ZODIAC COASTAL PT</v>
      </c>
      <c r="D12" s="139"/>
      <c r="E12" s="209"/>
      <c r="F12" s="140"/>
      <c r="G12" s="138">
        <f>QUADRO!J7</f>
        <v>6</v>
      </c>
      <c r="H12" s="140"/>
      <c r="I12" s="184" t="str">
        <f>QUADRO!C7</f>
        <v>XDC4ES74I809</v>
      </c>
      <c r="J12" s="185"/>
      <c r="K12" s="203" t="str">
        <f>QUADRO!G79</f>
        <v>09/2008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301</v>
      </c>
      <c r="D15" s="149"/>
      <c r="E15" s="149"/>
      <c r="F15" s="150"/>
      <c r="G15" s="18">
        <v>14</v>
      </c>
      <c r="H15" s="12" t="s">
        <v>19</v>
      </c>
      <c r="I15" s="18">
        <v>1</v>
      </c>
      <c r="J15" s="12" t="s">
        <v>68</v>
      </c>
      <c r="K15" s="189">
        <v>6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199" t="s">
        <v>25</v>
      </c>
      <c r="D18" s="199"/>
      <c r="E18" s="199"/>
      <c r="F18" s="1"/>
      <c r="G18" s="199" t="s">
        <v>26</v>
      </c>
      <c r="H18" s="199"/>
      <c r="I18" s="199" t="s">
        <v>27</v>
      </c>
      <c r="J18" s="199"/>
      <c r="K18" s="199" t="s">
        <v>28</v>
      </c>
      <c r="L18" s="199"/>
      <c r="M18" s="1"/>
    </row>
    <row r="19" spans="1:13" ht="15" x14ac:dyDescent="0.25">
      <c r="A19" s="3"/>
      <c r="B19" s="3"/>
      <c r="C19" s="170" t="str">
        <f>QUADRO!I56</f>
        <v>RKM098</v>
      </c>
      <c r="D19" s="171"/>
      <c r="E19" s="171"/>
      <c r="F19" s="172"/>
      <c r="G19" s="200">
        <f>QUADRO!I62</f>
        <v>2.2000000000000002</v>
      </c>
      <c r="H19" s="200"/>
      <c r="I19" s="200" t="str">
        <f>QUADRO!I64</f>
        <v>0,140</v>
      </c>
      <c r="J19" s="200"/>
      <c r="K19" s="201" t="str">
        <f>QUADRO!I66</f>
        <v>03/20</v>
      </c>
      <c r="L19" s="202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0"/>
      <c r="H20" s="200"/>
      <c r="I20" s="200"/>
      <c r="J20" s="200"/>
      <c r="K20" s="201"/>
      <c r="L20" s="202"/>
      <c r="M20" s="3"/>
    </row>
    <row r="21" spans="1:13" ht="15" x14ac:dyDescent="0.25">
      <c r="A21" s="3"/>
      <c r="B21" s="3"/>
      <c r="C21" s="174"/>
      <c r="D21" s="175"/>
      <c r="E21" s="175"/>
      <c r="F21" s="176"/>
      <c r="G21" s="198"/>
      <c r="H21" s="198"/>
      <c r="I21" s="198"/>
      <c r="J21" s="198"/>
      <c r="K21" s="198"/>
      <c r="L21" s="198"/>
      <c r="M21" s="3"/>
    </row>
    <row r="22" spans="1:13" ht="15" x14ac:dyDescent="0.25">
      <c r="A22" s="3"/>
      <c r="B22" s="3"/>
      <c r="C22" s="174"/>
      <c r="D22" s="175"/>
      <c r="E22" s="175"/>
      <c r="F22" s="176"/>
      <c r="G22" s="198"/>
      <c r="H22" s="198"/>
      <c r="I22" s="198"/>
      <c r="J22" s="198"/>
      <c r="K22" s="198"/>
      <c r="L22" s="1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80</v>
      </c>
      <c r="B25" s="8"/>
      <c r="C25" s="163"/>
      <c r="D25" s="163"/>
      <c r="E25" s="163"/>
      <c r="F25" s="8"/>
      <c r="G25" s="199" t="s">
        <v>34</v>
      </c>
      <c r="H25" s="199"/>
      <c r="I25" s="199" t="s">
        <v>25</v>
      </c>
      <c r="J25" s="199"/>
      <c r="K25" s="199" t="s">
        <v>35</v>
      </c>
      <c r="L25" s="199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3" t="str">
        <f>QUADRO!F47</f>
        <v>COASTAL</v>
      </c>
      <c r="H26" s="169"/>
      <c r="I26" s="182" t="str">
        <f>QUADRO!C7</f>
        <v>XDC4ES74I809</v>
      </c>
      <c r="J26" s="183"/>
      <c r="K26" s="194">
        <f>QUADRO!F81+365</f>
        <v>46087</v>
      </c>
      <c r="L26" s="195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184"/>
      <c r="J27" s="185"/>
      <c r="K27" s="196"/>
      <c r="L27" s="197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0"/>
      <c r="H29" s="191"/>
      <c r="I29" s="190"/>
      <c r="J29" s="191"/>
      <c r="K29" s="190"/>
      <c r="L29" s="191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0"/>
      <c r="H31" s="191"/>
      <c r="I31" s="190"/>
      <c r="J31" s="191"/>
      <c r="K31" s="190"/>
      <c r="L31" s="191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0"/>
      <c r="J33" s="191"/>
      <c r="K33" s="190"/>
      <c r="L33" s="191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88" t="s">
        <v>302</v>
      </c>
      <c r="H34" s="166"/>
      <c r="I34" s="188"/>
      <c r="J34" s="166"/>
      <c r="K34" s="182" t="str">
        <f>QUADRO!J13</f>
        <v>08/2027</v>
      </c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0"/>
      <c r="H35" s="191"/>
      <c r="I35" s="190"/>
      <c r="J35" s="191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2"/>
      <c r="D37" s="192"/>
      <c r="E37" s="192"/>
      <c r="F37" s="19"/>
      <c r="G37" s="192"/>
      <c r="H37" s="192"/>
      <c r="I37" s="192"/>
      <c r="J37" s="192"/>
      <c r="K37" s="192"/>
      <c r="L37" s="192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322</v>
      </c>
      <c r="F40" s="148"/>
      <c r="G40" s="35" t="s">
        <v>52</v>
      </c>
      <c r="H40" s="166" t="s">
        <v>300</v>
      </c>
      <c r="I40" s="35" t="s">
        <v>73</v>
      </c>
      <c r="J40" s="166" t="s">
        <v>322</v>
      </c>
      <c r="K40" s="35" t="s">
        <v>52</v>
      </c>
      <c r="L40" s="166" t="s">
        <v>297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 t="s">
        <v>333</v>
      </c>
      <c r="F42" s="169"/>
      <c r="G42" s="35" t="s">
        <v>54</v>
      </c>
      <c r="H42" s="167" t="s">
        <v>320</v>
      </c>
      <c r="I42" s="35" t="s">
        <v>54</v>
      </c>
      <c r="J42" s="167" t="s">
        <v>333</v>
      </c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45722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46087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 t="s">
        <v>308</v>
      </c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303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199" t="s">
        <v>304</v>
      </c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84</v>
      </c>
      <c r="B57" s="162"/>
      <c r="C57" s="22"/>
      <c r="D57" s="211" t="s">
        <v>326</v>
      </c>
      <c r="E57" s="211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1"/>
      <c r="E58" s="211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12"/>
      <c r="E59" s="212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12"/>
      <c r="E60" s="212"/>
      <c r="F60" s="45"/>
      <c r="G60" s="11"/>
      <c r="H60" s="3"/>
      <c r="I60" s="141" t="s">
        <v>82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85</v>
      </c>
      <c r="B61" s="40"/>
      <c r="C61" s="22"/>
      <c r="D61" s="211"/>
      <c r="E61" s="211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1"/>
      <c r="E62" s="211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13" t="str">
        <f>QUADRO!E7</f>
        <v>ALEGRIA DE DEUS</v>
      </c>
      <c r="E63" s="213"/>
      <c r="F63" s="213"/>
      <c r="G63" s="213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13"/>
      <c r="E64" s="213"/>
      <c r="F64" s="213"/>
      <c r="G64" s="213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1" t="s">
        <v>334</v>
      </c>
      <c r="E65" s="211"/>
      <c r="F65" s="211"/>
      <c r="G65" s="211"/>
      <c r="H65" s="211"/>
      <c r="I65" s="211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1"/>
      <c r="E66" s="211"/>
      <c r="F66" s="211"/>
      <c r="G66" s="211"/>
      <c r="H66" s="211"/>
      <c r="I66" s="211"/>
      <c r="J66" s="199" t="s">
        <v>0</v>
      </c>
      <c r="K66" s="199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210" t="s">
        <v>307</v>
      </c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</row>
    <row r="70" spans="1:13" x14ac:dyDescent="0.25">
      <c r="A70" s="210"/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</row>
    <row r="71" spans="1:13" x14ac:dyDescent="0.25">
      <c r="A71" s="210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</row>
    <row r="72" spans="1:13" x14ac:dyDescent="0.25">
      <c r="A72" s="210"/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</row>
    <row r="73" spans="1:13" x14ac:dyDescent="0.25">
      <c r="A73" s="210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</row>
    <row r="74" spans="1:13" x14ac:dyDescent="0.25">
      <c r="A74" s="210"/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</row>
    <row r="75" spans="1:13" x14ac:dyDescent="0.25">
      <c r="A75" s="210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</row>
    <row r="76" spans="1:13" x14ac:dyDescent="0.25">
      <c r="A76" s="210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</row>
    <row r="77" spans="1:13" x14ac:dyDescent="0.25">
      <c r="G77" s="207" t="s">
        <v>81</v>
      </c>
      <c r="H77" s="20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D75" sqref="D75:D76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5" t="s">
        <v>86</v>
      </c>
      <c r="E3" s="295"/>
      <c r="F3" s="295"/>
      <c r="G3" s="295"/>
      <c r="H3" s="296" t="s">
        <v>87</v>
      </c>
      <c r="I3" s="298"/>
      <c r="J3" s="299"/>
    </row>
    <row r="4" spans="2:15" s="58" customFormat="1" ht="23.4" customHeight="1" x14ac:dyDescent="0.4">
      <c r="B4" s="56" t="s">
        <v>88</v>
      </c>
      <c r="C4" s="57"/>
      <c r="D4" s="300" t="s">
        <v>89</v>
      </c>
      <c r="E4" s="300"/>
      <c r="F4" s="300"/>
      <c r="G4" s="300"/>
      <c r="H4" s="297"/>
      <c r="I4" s="299"/>
      <c r="J4" s="299"/>
    </row>
    <row r="5" spans="2:15" s="58" customFormat="1" ht="23.4" customHeight="1" x14ac:dyDescent="0.4">
      <c r="B5" s="56" t="s">
        <v>90</v>
      </c>
      <c r="C5" s="56"/>
      <c r="H5" s="301" t="s">
        <v>91</v>
      </c>
      <c r="I5" s="303" t="s">
        <v>329</v>
      </c>
      <c r="J5" s="304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2"/>
      <c r="I6" s="305"/>
      <c r="J6" s="305"/>
    </row>
    <row r="7" spans="2:15" ht="23.4" customHeight="1" x14ac:dyDescent="0.3">
      <c r="B7" s="59" t="s">
        <v>92</v>
      </c>
      <c r="C7" s="279" t="s">
        <v>316</v>
      </c>
      <c r="D7" s="59" t="s">
        <v>93</v>
      </c>
      <c r="E7" s="281" t="s">
        <v>315</v>
      </c>
      <c r="F7" s="282"/>
      <c r="G7" s="60" t="s">
        <v>94</v>
      </c>
      <c r="H7" s="281" t="s">
        <v>309</v>
      </c>
      <c r="I7" s="290"/>
      <c r="J7" s="293">
        <v>6</v>
      </c>
    </row>
    <row r="8" spans="2:15" ht="23.4" customHeight="1" x14ac:dyDescent="0.3">
      <c r="B8" s="61" t="s">
        <v>95</v>
      </c>
      <c r="C8" s="280"/>
      <c r="D8" s="61" t="s">
        <v>96</v>
      </c>
      <c r="E8" s="283"/>
      <c r="F8" s="284"/>
      <c r="G8" s="62" t="s">
        <v>97</v>
      </c>
      <c r="H8" s="291"/>
      <c r="I8" s="292"/>
      <c r="J8" s="294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 t="s">
        <v>328</v>
      </c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327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 t="s">
        <v>325</v>
      </c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 t="s">
        <v>330</v>
      </c>
      <c r="J19" s="83" t="s">
        <v>331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 t="s">
        <v>332</v>
      </c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299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/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312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299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311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310</v>
      </c>
      <c r="G47" s="61"/>
      <c r="H47" s="81"/>
      <c r="I47" s="105"/>
      <c r="J47" s="106" t="s">
        <v>333</v>
      </c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314</v>
      </c>
      <c r="D49" s="61" t="s">
        <v>213</v>
      </c>
      <c r="E49" s="81"/>
      <c r="F49" s="80"/>
      <c r="G49" s="61"/>
      <c r="H49" s="109"/>
      <c r="I49" s="105"/>
      <c r="J49" s="106" t="s">
        <v>333</v>
      </c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 t="s">
        <v>320</v>
      </c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298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85" t="s">
        <v>232</v>
      </c>
      <c r="H56" s="286"/>
      <c r="I56" s="287" t="s">
        <v>318</v>
      </c>
      <c r="J56" s="288"/>
      <c r="M56" s="137"/>
    </row>
    <row r="57" spans="1:13" ht="23.4" customHeight="1" x14ac:dyDescent="0.4">
      <c r="B57" s="99" t="s">
        <v>233</v>
      </c>
      <c r="C57" s="114"/>
      <c r="D57" s="61" t="s">
        <v>326</v>
      </c>
      <c r="E57" s="81"/>
      <c r="F57" s="80"/>
      <c r="G57" s="278" t="s">
        <v>234</v>
      </c>
      <c r="H57" s="257"/>
      <c r="I57" s="253"/>
      <c r="J57" s="289"/>
    </row>
    <row r="58" spans="1:13" s="74" customFormat="1" ht="23.4" customHeight="1" x14ac:dyDescent="0.4">
      <c r="B58" s="84" t="s">
        <v>235</v>
      </c>
      <c r="C58" s="78"/>
      <c r="D58" s="59" t="s">
        <v>236</v>
      </c>
      <c r="E58" s="70"/>
      <c r="F58" s="71"/>
      <c r="G58" s="277" t="s">
        <v>237</v>
      </c>
      <c r="H58" s="251"/>
      <c r="I58" s="252" t="s">
        <v>321</v>
      </c>
      <c r="J58" s="254"/>
    </row>
    <row r="59" spans="1:13" ht="23.4" customHeight="1" x14ac:dyDescent="0.4">
      <c r="B59" s="63" t="s">
        <v>238</v>
      </c>
      <c r="C59" s="78"/>
      <c r="D59" s="61" t="s">
        <v>239</v>
      </c>
      <c r="E59" s="81"/>
      <c r="F59" s="115"/>
      <c r="G59" s="278" t="s">
        <v>240</v>
      </c>
      <c r="H59" s="257"/>
      <c r="I59" s="253"/>
      <c r="J59" s="255"/>
    </row>
    <row r="60" spans="1:13" s="74" customFormat="1" ht="23.4" customHeight="1" x14ac:dyDescent="0.4">
      <c r="B60" s="59" t="s">
        <v>241</v>
      </c>
      <c r="C60" s="71"/>
      <c r="D60" s="89" t="s">
        <v>242</v>
      </c>
      <c r="E60" s="90"/>
      <c r="F60" s="91"/>
      <c r="G60" s="277" t="s">
        <v>243</v>
      </c>
      <c r="H60" s="251"/>
      <c r="I60" s="252" t="s">
        <v>321</v>
      </c>
      <c r="J60" s="254"/>
      <c r="M60" s="137"/>
    </row>
    <row r="61" spans="1:13" ht="23.4" customHeight="1" x14ac:dyDescent="0.4">
      <c r="B61" s="61" t="s">
        <v>244</v>
      </c>
      <c r="C61" s="80"/>
      <c r="D61" s="99" t="s">
        <v>245</v>
      </c>
      <c r="E61" s="112"/>
      <c r="F61" s="114"/>
      <c r="G61" s="278" t="s">
        <v>246</v>
      </c>
      <c r="H61" s="257"/>
      <c r="I61" s="253"/>
      <c r="J61" s="255"/>
    </row>
    <row r="62" spans="1:13" s="74" customFormat="1" ht="23.4" customHeight="1" x14ac:dyDescent="0.4">
      <c r="B62" s="84" t="s">
        <v>247</v>
      </c>
      <c r="C62" s="78"/>
      <c r="D62" s="59" t="s">
        <v>248</v>
      </c>
      <c r="E62" s="70"/>
      <c r="F62" s="71"/>
      <c r="G62" s="250" t="s">
        <v>249</v>
      </c>
      <c r="H62" s="251"/>
      <c r="I62" s="273">
        <v>2.2000000000000002</v>
      </c>
      <c r="J62" s="275"/>
    </row>
    <row r="63" spans="1:13" ht="23.4" customHeight="1" x14ac:dyDescent="0.4">
      <c r="B63" s="63" t="s">
        <v>250</v>
      </c>
      <c r="C63" s="80"/>
      <c r="D63" s="61" t="s">
        <v>251</v>
      </c>
      <c r="E63" s="81"/>
      <c r="F63" s="83" t="s">
        <v>323</v>
      </c>
      <c r="G63" s="256" t="s">
        <v>252</v>
      </c>
      <c r="H63" s="257"/>
      <c r="I63" s="274"/>
      <c r="J63" s="276"/>
    </row>
    <row r="64" spans="1:13" ht="23.4" customHeight="1" x14ac:dyDescent="0.4">
      <c r="A64" s="74"/>
      <c r="B64" s="59" t="s">
        <v>253</v>
      </c>
      <c r="C64" s="78"/>
      <c r="D64" s="59" t="s">
        <v>254</v>
      </c>
      <c r="E64" s="116"/>
      <c r="F64" s="71"/>
      <c r="G64" s="277" t="s">
        <v>255</v>
      </c>
      <c r="H64" s="251"/>
      <c r="I64" s="252" t="s">
        <v>319</v>
      </c>
      <c r="J64" s="254"/>
      <c r="K64" s="74"/>
    </row>
    <row r="65" spans="1:11" ht="23.4" customHeight="1" x14ac:dyDescent="0.4">
      <c r="B65" s="63" t="s">
        <v>256</v>
      </c>
      <c r="C65" s="77"/>
      <c r="D65" s="61" t="s">
        <v>257</v>
      </c>
      <c r="E65" s="81"/>
      <c r="F65" s="109"/>
      <c r="G65" s="278" t="s">
        <v>258</v>
      </c>
      <c r="H65" s="257"/>
      <c r="I65" s="253"/>
      <c r="J65" s="255"/>
    </row>
    <row r="66" spans="1:11" ht="23.4" customHeight="1" x14ac:dyDescent="0.4">
      <c r="B66" s="59" t="s">
        <v>259</v>
      </c>
      <c r="C66" s="71"/>
      <c r="D66" s="59" t="s">
        <v>260</v>
      </c>
      <c r="E66" s="116"/>
      <c r="F66" s="71"/>
      <c r="G66" s="250" t="s">
        <v>261</v>
      </c>
      <c r="H66" s="251"/>
      <c r="I66" s="252" t="s">
        <v>320</v>
      </c>
      <c r="J66" s="254"/>
    </row>
    <row r="67" spans="1:11" ht="23.4" customHeight="1" x14ac:dyDescent="0.4">
      <c r="B67" s="61" t="s">
        <v>262</v>
      </c>
      <c r="C67" s="80"/>
      <c r="D67" s="61" t="s">
        <v>263</v>
      </c>
      <c r="E67" s="81"/>
      <c r="F67" s="83"/>
      <c r="G67" s="256" t="s">
        <v>264</v>
      </c>
      <c r="H67" s="257"/>
      <c r="I67" s="253"/>
      <c r="J67" s="255"/>
    </row>
    <row r="68" spans="1:11" ht="5.25" customHeight="1" x14ac:dyDescent="0.3">
      <c r="B68" s="258"/>
      <c r="C68" s="259"/>
      <c r="D68" s="259"/>
      <c r="E68" s="259"/>
      <c r="F68" s="259"/>
      <c r="G68" s="259"/>
      <c r="H68" s="259"/>
      <c r="I68" s="259"/>
      <c r="J68" s="260"/>
    </row>
    <row r="69" spans="1:11" ht="21" x14ac:dyDescent="0.3">
      <c r="B69" s="261" t="s">
        <v>265</v>
      </c>
      <c r="C69" s="117" t="s">
        <v>266</v>
      </c>
      <c r="D69" s="265" t="s">
        <v>306</v>
      </c>
      <c r="E69" s="266"/>
      <c r="F69" s="118" t="s">
        <v>267</v>
      </c>
      <c r="G69" s="119" t="s">
        <v>268</v>
      </c>
      <c r="H69" s="269" t="s">
        <v>313</v>
      </c>
      <c r="I69" s="119" t="s">
        <v>269</v>
      </c>
      <c r="J69" s="271" t="s">
        <v>313</v>
      </c>
    </row>
    <row r="70" spans="1:11" ht="21.6" customHeight="1" x14ac:dyDescent="0.3">
      <c r="B70" s="262"/>
      <c r="C70" s="120" t="s">
        <v>270</v>
      </c>
      <c r="D70" s="267"/>
      <c r="E70" s="268"/>
      <c r="F70" s="121" t="s">
        <v>271</v>
      </c>
      <c r="G70" s="122" t="s">
        <v>272</v>
      </c>
      <c r="H70" s="270"/>
      <c r="I70" s="122" t="s">
        <v>273</v>
      </c>
      <c r="J70" s="272"/>
    </row>
    <row r="71" spans="1:11" ht="21" x14ac:dyDescent="0.3">
      <c r="B71" s="263"/>
      <c r="C71" s="123" t="s">
        <v>274</v>
      </c>
      <c r="D71" s="124" t="s">
        <v>275</v>
      </c>
      <c r="E71" s="117" t="s">
        <v>276</v>
      </c>
      <c r="F71" s="118" t="s">
        <v>277</v>
      </c>
      <c r="G71" s="119" t="s">
        <v>268</v>
      </c>
      <c r="H71" s="269" t="s">
        <v>324</v>
      </c>
      <c r="I71" s="119" t="s">
        <v>269</v>
      </c>
      <c r="J71" s="269" t="s">
        <v>324</v>
      </c>
    </row>
    <row r="72" spans="1:11" ht="42" customHeight="1" x14ac:dyDescent="0.3">
      <c r="B72" s="264"/>
      <c r="C72" s="125">
        <v>0.4548611111111111</v>
      </c>
      <c r="D72" s="125">
        <v>0.49652777777777773</v>
      </c>
      <c r="E72" s="126" t="s">
        <v>278</v>
      </c>
      <c r="F72" s="121" t="s">
        <v>279</v>
      </c>
      <c r="G72" s="127" t="s">
        <v>272</v>
      </c>
      <c r="H72" s="270"/>
      <c r="I72" s="127" t="s">
        <v>273</v>
      </c>
      <c r="J72" s="270"/>
    </row>
    <row r="73" spans="1:11" ht="21.6" customHeight="1" x14ac:dyDescent="0.3">
      <c r="B73" s="128" t="s">
        <v>280</v>
      </c>
      <c r="C73" s="234">
        <v>202</v>
      </c>
      <c r="D73" s="234">
        <v>199</v>
      </c>
      <c r="E73" s="236">
        <f>1-(D73/C73)</f>
        <v>1.4851485148514865E-2</v>
      </c>
      <c r="F73" s="238" t="s">
        <v>281</v>
      </c>
      <c r="G73" s="241"/>
      <c r="H73" s="242"/>
      <c r="I73" s="242"/>
      <c r="J73" s="243"/>
    </row>
    <row r="74" spans="1:11" ht="21.6" customHeight="1" x14ac:dyDescent="0.3">
      <c r="B74" s="129" t="s">
        <v>282</v>
      </c>
      <c r="C74" s="235"/>
      <c r="D74" s="235"/>
      <c r="E74" s="237"/>
      <c r="F74" s="239"/>
      <c r="G74" s="244"/>
      <c r="H74" s="245"/>
      <c r="I74" s="245"/>
      <c r="J74" s="246"/>
    </row>
    <row r="75" spans="1:11" ht="21.6" customHeight="1" x14ac:dyDescent="0.3">
      <c r="B75" s="128" t="s">
        <v>283</v>
      </c>
      <c r="C75" s="234">
        <v>197</v>
      </c>
      <c r="D75" s="234">
        <v>195</v>
      </c>
      <c r="E75" s="236">
        <f>1-(D75/C75)</f>
        <v>1.0152284263959421E-2</v>
      </c>
      <c r="F75" s="239"/>
      <c r="G75" s="244"/>
      <c r="H75" s="245"/>
      <c r="I75" s="245"/>
      <c r="J75" s="246"/>
    </row>
    <row r="76" spans="1:11" ht="21.6" customHeight="1" x14ac:dyDescent="0.3">
      <c r="B76" s="129" t="s">
        <v>284</v>
      </c>
      <c r="C76" s="235"/>
      <c r="D76" s="235"/>
      <c r="E76" s="237"/>
      <c r="F76" s="239"/>
      <c r="G76" s="244"/>
      <c r="H76" s="245"/>
      <c r="I76" s="245"/>
      <c r="J76" s="246"/>
    </row>
    <row r="77" spans="1:11" ht="21" customHeight="1" x14ac:dyDescent="0.3">
      <c r="B77" s="128" t="s">
        <v>285</v>
      </c>
      <c r="C77" s="222"/>
      <c r="D77" s="222"/>
      <c r="E77" s="224" t="e">
        <f>1-(D77/C77)</f>
        <v>#DIV/0!</v>
      </c>
      <c r="F77" s="239"/>
      <c r="G77" s="244"/>
      <c r="H77" s="245"/>
      <c r="I77" s="245"/>
      <c r="J77" s="246"/>
    </row>
    <row r="78" spans="1:11" ht="21" customHeight="1" x14ac:dyDescent="0.3">
      <c r="B78" s="129" t="s">
        <v>286</v>
      </c>
      <c r="C78" s="223"/>
      <c r="D78" s="223"/>
      <c r="E78" s="225"/>
      <c r="F78" s="240"/>
      <c r="G78" s="247"/>
      <c r="H78" s="248"/>
      <c r="I78" s="248"/>
      <c r="J78" s="249"/>
    </row>
    <row r="79" spans="1:11" s="74" customFormat="1" ht="21.6" customHeight="1" x14ac:dyDescent="0.3">
      <c r="A79" s="55"/>
      <c r="B79" s="128" t="s">
        <v>287</v>
      </c>
      <c r="C79" s="222"/>
      <c r="D79" s="222"/>
      <c r="E79" s="224" t="e">
        <f>1-(D79/C79)</f>
        <v>#DIV/0!</v>
      </c>
      <c r="F79" s="130" t="s">
        <v>288</v>
      </c>
      <c r="G79" s="226" t="s">
        <v>317</v>
      </c>
      <c r="H79" s="228"/>
      <c r="I79" s="229"/>
      <c r="J79" s="230"/>
      <c r="K79" s="55"/>
    </row>
    <row r="80" spans="1:11" ht="21" customHeight="1" x14ac:dyDescent="0.3">
      <c r="B80" s="129" t="s">
        <v>289</v>
      </c>
      <c r="C80" s="223"/>
      <c r="D80" s="223"/>
      <c r="E80" s="225"/>
      <c r="F80" s="131" t="s">
        <v>290</v>
      </c>
      <c r="G80" s="227"/>
      <c r="H80" s="231"/>
      <c r="I80" s="232"/>
      <c r="J80" s="233"/>
    </row>
    <row r="81" spans="1:11" ht="30" customHeight="1" x14ac:dyDescent="0.3">
      <c r="A81" s="74"/>
      <c r="B81" s="132" t="s">
        <v>291</v>
      </c>
      <c r="C81" s="216" t="s">
        <v>305</v>
      </c>
      <c r="D81" s="218"/>
      <c r="E81" s="133" t="s">
        <v>292</v>
      </c>
      <c r="F81" s="214">
        <v>45722</v>
      </c>
      <c r="G81" s="133" t="s">
        <v>293</v>
      </c>
      <c r="H81" s="216"/>
      <c r="I81" s="217"/>
      <c r="J81" s="218"/>
      <c r="K81" s="74"/>
    </row>
    <row r="82" spans="1:11" ht="28.2" customHeight="1" x14ac:dyDescent="0.3">
      <c r="B82" s="134" t="s">
        <v>294</v>
      </c>
      <c r="C82" s="219"/>
      <c r="D82" s="221"/>
      <c r="E82" s="135" t="s">
        <v>295</v>
      </c>
      <c r="F82" s="215"/>
      <c r="G82" s="135" t="s">
        <v>0</v>
      </c>
      <c r="H82" s="219"/>
      <c r="I82" s="220"/>
      <c r="J82" s="221"/>
    </row>
    <row r="83" spans="1:11" x14ac:dyDescent="0.3">
      <c r="F83" s="136"/>
    </row>
    <row r="84" spans="1:11" x14ac:dyDescent="0.3">
      <c r="F84" s="136" t="s">
        <v>296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2025-03-07T13:38:22Z</cp:lastPrinted>
  <dcterms:created xsi:type="dcterms:W3CDTF">2001-08-01T17:12:05Z</dcterms:created>
  <dcterms:modified xsi:type="dcterms:W3CDTF">2025-03-07T13:38:24Z</dcterms:modified>
</cp:coreProperties>
</file>