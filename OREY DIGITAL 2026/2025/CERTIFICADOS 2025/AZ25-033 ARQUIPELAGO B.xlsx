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4761784-A2ED-4D86-B02E-0DBA0473FC27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C12" i="9" l="1"/>
  <c r="G47" i="9" l="1"/>
  <c r="K3" i="9"/>
  <c r="L42" i="9"/>
  <c r="G12" i="9"/>
  <c r="K12" i="9"/>
  <c r="I26" i="9"/>
  <c r="D63" i="9"/>
  <c r="K19" i="9"/>
  <c r="I19" i="9"/>
  <c r="G19" i="9"/>
  <c r="C19" i="9"/>
  <c r="K26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<sst xmlns="http://schemas.openxmlformats.org/spreadsheetml/2006/main" count="371" uniqueCount="337">
  <si>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</si>
  <si>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</si>
  <si>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</si>
  <si>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</si>
  <si>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</si>
  <si>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</si>
  <si>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</si>
  <si>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</si>
  <si>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</si>
  <si>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</si>
  <si>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</si>
  <si>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</si>
  <si>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</si>
  <si>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</si>
  <si>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</si>
  <si>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</si>
  <si>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</si>
  <si>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</si>
  <si>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</si>
  <si>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</si>
  <si>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</si>
  <si>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</si>
  <si>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</si>
  <si>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</si>
  <si>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</si>
  <si>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</si>
  <si>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</si>
  <si>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</si>
  <si>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</si>
  <si>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</si>
  <si>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</si>
  <si>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</si>
  <si>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</si>
  <si>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</si>
  <si>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</si>
  <si>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</si>
  <si>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</si>
  <si>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</si>
  <si>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</si>
  <si>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</si>
  <si>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</si>
  <si>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</si>
  <si>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</si>
  <si>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</si>
  <si>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</si>
  <si>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</si>
  <si>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</si>
  <si>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</si>
  <si>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</si>
  <si>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</si>
  <si>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</si>
  <si>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</si>
  <si>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</si>
  <si>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</si>
  <si>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</si>
  <si>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</si>
  <si>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</si>
  <si>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</si>
  <si>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</si>
  <si>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</si>
  <si>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</si>
  <si>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</si>
  <si>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</si>
  <si>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</si>
  <si>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</si>
  <si>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</si>
  <si>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</si>
  <si>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</si>
  <si>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</si>
  <si>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</si>
  <si>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</si>
  <si>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</si>
  <si>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</si>
  <si>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</si>
  <si>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</si>
  <si>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</si>
  <si>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</si>
  <si>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</si>
  <si>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</si>
  <si>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</si>
  <si>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</si>
  <si>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</si>
  <si>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</si>
  <si>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</si>
  <si>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</si>
  <si>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</si>
  <si>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</si>
  <si>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</si>
  <si>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</si>
  <si>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</si>
  <si>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</si>
  <si>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</si>
  <si>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</si>
  <si>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</si>
  <si>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</si>
  <si>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</si>
  <si>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</si>
  <si>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</si>
  <si>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</si>
  <si>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</si>
  <si>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</si>
  <si>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</si>
  <si>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</si>
  <si>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</si>
  <si>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</si>
  <si>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</si>
  <si>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</si>
  <si>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</si>
  <si>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</si>
  <si>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</si>
  <si>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</si>
  <si>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</si>
  <si>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</si>
  <si>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</si>
  <si>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</si>
  <si>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</si>
  <si>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</si>
  <si>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</si>
  <si>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</si>
  <si>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</si>
  <si>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</si>
  <si>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</si>
  <si>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</si>
  <si>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</si>
  <si>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</si>
  <si>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</si>
  <si>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</si>
  <si>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</si>
  <si>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</si>
  <si>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</si>
  <si>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</si>
  <si>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</si>
  <si>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</si>
  <si>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</si>
  <si>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</si>
  <si>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</si>
  <si>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</si>
  <si>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</si>
  <si>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</si>
  <si>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</si>
  <si>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</si>
  <si>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</si>
  <si>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</si>
  <si>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</si>
  <si>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</si>
  <si>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</si>
  <si>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</si>
  <si>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</si>
  <si>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</si>
  <si>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</si>
  <si>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</si>
  <si>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</si>
  <si>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</si>
  <si>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</si>
  <si>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</si>
  <si>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</si>
  <si>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</si>
  <si>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</si>
  <si>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</si>
  <si>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</si>
  <si>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</si>
  <si>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</si>
  <si>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</si>
  <si>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</si>
  <si>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</si>
  <si>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</si>
  <si>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</si>
  <si>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</si>
  <si>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</si>
  <si>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</si>
  <si>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</si>
  <si>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</si>
  <si>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</si>
  <si>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</si>
  <si>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</si>
  <si>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</si>
  <si>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</si>
  <si>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</si>
  <si>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</si>
  <si>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</si>
  <si>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</si>
  <si>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</si>
  <si>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</si>
  <si>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</si>
  <si>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</si>
  <si>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</si>
  <si>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</si>
  <si>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</si>
  <si>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</si>
  <si>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</si>
  <si>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</si>
  <si>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</si>
  <si>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</si>
  <si>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</si>
  <si>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</si>
  <si>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</si>
  <si>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</si>
  <si>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</si>
  <si>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</si>
  <si>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</si>
  <si>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</si>
  <si>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</si>
  <si>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</si>
  <si>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</si>
  <si>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</si>
  <si>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</si>
  <si>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</si>
  <si>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</si>
  <si>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</si>
  <si>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</si>
  <si>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</si>
  <si>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</si>
  <si>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</si>
  <si>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</si>
  <si>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</si>
  <si>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</si>
  <si>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</si>
  <si>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</si>
  <si>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</si>
  <si>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</si>
  <si>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</si>
  <si>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</si>
  <si>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</si>
  <si>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</si>
  <si>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</si>
  <si>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</si>
  <si>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</si>
  <si>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</si>
  <si>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</si>
  <si>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</si>
  <si>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</si>
  <si>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</si>
  <si>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</si>
  <si>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</si>
  <si>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</si>
  <si>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</si>
  <si>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</si>
  <si>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</si>
  <si>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</si>
  <si>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</si>
  <si>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</si>
  <si>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</si>
  <si>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</si>
  <si>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</si>
  <si>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</si>
  <si>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</si>
  <si>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</si>
  <si>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</si>
  <si>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</si>
  <si>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</si>
  <si>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</si>
  <si>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</si>
  <si>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</si>
  <si>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</si>
  <si>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</si>
  <si>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</si>
  <si>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</si>
  <si>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</si>
  <si>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</si>
  <si>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</si>
  <si>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</si>
  <si>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</si>
  <si>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</si>
  <si>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</si>
  <si>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</si>
  <si>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</si>
  <si>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</si>
  <si>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</si>
  <si>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</si>
  <si>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</si>
  <si>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</si>
  <si>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</si>
  <si>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</si>
  <si>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</si>
  <si>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</si>
  <si>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</si>
  <si>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</si>
  <si>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</si>
  <si>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</si>
  <si>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</si>
  <si>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</si>
  <si>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</si>
  <si>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</si>
  <si>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</si>
  <si>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</si>
  <si>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</si>
  <si>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</si>
  <si>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</si>
  <si>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</si>
  <si>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</si>
  <si>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</si>
  <si>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</si>
  <si>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</si>
  <si>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</si>
  <si>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</si>
  <si>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</si>
  <si>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</si>
  <si>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</si>
  <si>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</si>
  <si>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</si>
  <si>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(1)</t>
  </si>
  <si>
    <t>(4)</t>
  </si>
  <si>
    <t>NO</t>
  </si>
  <si>
    <t>ok</t>
  </si>
  <si>
    <t>36 MT</t>
  </si>
  <si>
    <t>SOLAS B</t>
  </si>
  <si>
    <t>N.R.</t>
  </si>
  <si>
    <t>A3</t>
  </si>
  <si>
    <t xml:space="preserve">50937 OREY TÉCNICA </t>
  </si>
  <si>
    <t>PORTUGAL</t>
  </si>
  <si>
    <t>11/2023</t>
  </si>
  <si>
    <t>09/2024</t>
  </si>
  <si>
    <t>02/2024</t>
  </si>
  <si>
    <t>KR-1Nº66852</t>
  </si>
  <si>
    <t xml:space="preserve">inH2O [ ] inHg [   ] mbar [X] </t>
  </si>
  <si>
    <t>17 Cº</t>
  </si>
  <si>
    <t>SOLAS DSB</t>
  </si>
  <si>
    <t>YES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</si>
  <si>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</si>
  <si>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50866110213343</t>
  </si>
  <si>
    <t>ARQUIPELAGO</t>
  </si>
  <si>
    <t>DSB LR07</t>
  </si>
  <si>
    <t>24,601</t>
  </si>
  <si>
    <t>17,067</t>
  </si>
  <si>
    <t>0,360</t>
  </si>
  <si>
    <t>04/2016</t>
  </si>
  <si>
    <t>IMAR</t>
  </si>
  <si>
    <t>05/21</t>
  </si>
  <si>
    <t>1020 Hpa</t>
  </si>
  <si>
    <t>(6)</t>
  </si>
  <si>
    <t>05/2025</t>
  </si>
  <si>
    <t>11/24</t>
  </si>
  <si>
    <t>AZ25-033</t>
  </si>
  <si>
    <t>06/2027</t>
  </si>
  <si>
    <t>02/25</t>
  </si>
  <si>
    <t>13D234006</t>
  </si>
  <si>
    <t>02/23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</si>
</sst>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17" fontId="13" fillId="0" borderId="5" xfId="0" applyNumberFormat="1" applyFont="1" applyFill="1" applyBorder="1" applyAlignment="1" applyProtection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62250" cy="45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137160</xdr:colOff>
      <xdr:row>48</xdr:row>
      <xdr:rowOff>53340</xdr:rowOff>
    </xdr:from>
    <xdr:to>
      <xdr:col>23</xdr:col>
      <xdr:colOff>363504</xdr:colOff>
      <xdr:row>58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776E8C-D210-4448-8650-DF5DE0446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900" y="776478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38" workbookViewId="0">
      <selection activeCell="O55" sqref="O55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AZ25-033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DSB LR07</v>
      </c>
      <c r="D12" s="184"/>
      <c r="E12" s="185"/>
      <c r="F12" s="174"/>
      <c r="G12" s="175">
        <f>QUADRO!J7</f>
        <v>16</v>
      </c>
      <c r="H12" s="174"/>
      <c r="I12" s="187" t="str">
        <f>QUADRO!C7</f>
        <v>50866110213343</v>
      </c>
      <c r="J12" s="188"/>
      <c r="K12" s="173" t="str">
        <f>QUADRO!G79</f>
        <v>04/2016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306</v>
      </c>
      <c r="D15" s="186"/>
      <c r="E15" s="186"/>
      <c r="F15" s="178"/>
      <c r="G15" s="26">
        <v>36</v>
      </c>
      <c r="H15" s="20" t="s">
        <v>19</v>
      </c>
      <c r="I15" s="26">
        <v>1</v>
      </c>
      <c r="J15" s="20" t="s">
        <v>68</v>
      </c>
      <c r="K15" s="177">
        <v>25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13D234006</v>
      </c>
      <c r="D19" s="208"/>
      <c r="E19" s="208"/>
      <c r="F19" s="209"/>
      <c r="G19" s="190">
        <f>QUADRO!I62</f>
        <v>7.18</v>
      </c>
      <c r="H19" s="190"/>
      <c r="I19" s="190" t="str">
        <f>QUADRO!I64</f>
        <v>0,360</v>
      </c>
      <c r="J19" s="190"/>
      <c r="K19" s="191" t="str">
        <f>QUADRO!I66</f>
        <v>02/23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81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SOLAS B</v>
      </c>
      <c r="H26" s="221"/>
      <c r="I26" s="201" t="str">
        <f>QUADRO!C7</f>
        <v>50866110213343</v>
      </c>
      <c r="J26" s="202"/>
      <c r="K26" s="203">
        <f>QUADRO!F81+365</f>
        <v>46069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 t="s">
        <v>316</v>
      </c>
      <c r="H34" s="194"/>
      <c r="I34" s="193"/>
      <c r="J34" s="194"/>
      <c r="K34" s="201" t="str">
        <f>QUADRO!J13</f>
        <v>06/2027</v>
      </c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302</v>
      </c>
      <c r="F40" s="218"/>
      <c r="G40" s="52" t="s">
        <v>52</v>
      </c>
      <c r="H40" s="194" t="s">
        <v>317</v>
      </c>
      <c r="I40" s="52" t="s">
        <v>73</v>
      </c>
      <c r="J40" s="194" t="s">
        <v>302</v>
      </c>
      <c r="K40" s="52" t="s">
        <v>52</v>
      </c>
      <c r="L40" s="194" t="s">
        <v>302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 t="s">
        <v>327</v>
      </c>
      <c r="I42" s="164"/>
      <c r="J42" s="217"/>
      <c r="K42" s="52"/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45704</v>
      </c>
      <c r="D47" s="230"/>
      <c r="E47" s="230"/>
      <c r="F47" s="231"/>
      <c r="G47" s="175" t="str">
        <f>QUADRO!C81</f>
        <v xml:space="preserve">50937 OREY TÉCNICA </v>
      </c>
      <c r="H47" s="184"/>
      <c r="I47" s="184"/>
      <c r="J47" s="174"/>
      <c r="K47" s="224">
        <f>C47+365</f>
        <v>46069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16" t="s">
        <v>79</v>
      </c>
      <c r="D50" s="172"/>
      <c r="E50" s="172"/>
      <c r="F50" s="232"/>
      <c r="G50" s="233"/>
      <c r="H50" s="233"/>
      <c r="I50" s="233"/>
      <c r="J50" s="233"/>
      <c r="K50" s="233"/>
      <c r="L50" s="234"/>
      <c r="M50" s="4"/>
    </row>
    <row r="51" spans="1:13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3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238" t="s">
        <v>80</v>
      </c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3" ht="15" x14ac:dyDescent="0.25">
      <c r="A55" s="12"/>
      <c r="B55" s="167" t="s">
        <v>82</v>
      </c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72" t="s">
        <v>86</v>
      </c>
      <c r="B57" s="172"/>
      <c r="C57" s="30"/>
      <c r="D57" s="169" t="s">
        <v>309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</row>
    <row r="60" spans="1:13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84</v>
      </c>
      <c r="J60" s="223"/>
      <c r="K60" s="223"/>
      <c r="L60" s="223"/>
      <c r="M60" s="2"/>
    </row>
    <row r="61" spans="1:13" s="33" customFormat="1" ht="14.1" customHeight="1" x14ac:dyDescent="0.25">
      <c r="A61" s="57" t="s">
        <v>87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72" t="s">
        <v>72</v>
      </c>
      <c r="B63" s="172"/>
      <c r="C63" s="30"/>
      <c r="D63" s="171" t="str">
        <f>QUADRO!E7</f>
        <v>ARQUIPELAGO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326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65" t="s">
        <v>318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83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88</v>
      </c>
      <c r="E3" s="242"/>
      <c r="F3" s="242"/>
      <c r="G3" s="242"/>
      <c r="H3" s="243" t="s">
        <v>89</v>
      </c>
      <c r="I3" s="245"/>
      <c r="J3" s="246"/>
    </row>
    <row r="4" spans="2:15" s="79" customFormat="1" ht="23.4" customHeight="1" x14ac:dyDescent="0.4">
      <c r="B4" s="77" t="s">
        <v>90</v>
      </c>
      <c r="C4" s="78"/>
      <c r="D4" s="247" t="s">
        <v>91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92</v>
      </c>
      <c r="C5" s="77"/>
      <c r="H5" s="249" t="s">
        <v>93</v>
      </c>
      <c r="I5" s="251" t="s">
        <v>332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94</v>
      </c>
      <c r="C7" s="254" t="s">
        <v>319</v>
      </c>
      <c r="D7" s="80" t="s">
        <v>95</v>
      </c>
      <c r="E7" s="256" t="s">
        <v>320</v>
      </c>
      <c r="F7" s="257"/>
      <c r="G7" s="81" t="s">
        <v>96</v>
      </c>
      <c r="H7" s="256" t="s">
        <v>321</v>
      </c>
      <c r="I7" s="268"/>
      <c r="J7" s="271">
        <v>16</v>
      </c>
    </row>
    <row r="8" spans="2:15" ht="23.4" customHeight="1" x14ac:dyDescent="0.3">
      <c r="B8" s="82" t="s">
        <v>97</v>
      </c>
      <c r="C8" s="255"/>
      <c r="D8" s="82" t="s">
        <v>98</v>
      </c>
      <c r="E8" s="258"/>
      <c r="F8" s="259"/>
      <c r="G8" s="83" t="s">
        <v>99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/>
      <c r="J13" s="106" t="s">
        <v>333</v>
      </c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/>
      <c r="J15" s="106" t="s">
        <v>311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 t="s">
        <v>312</v>
      </c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 t="s">
        <v>329</v>
      </c>
      <c r="J19" s="106" t="s">
        <v>330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/>
      <c r="J21" s="106" t="s">
        <v>310</v>
      </c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 t="s">
        <v>331</v>
      </c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/>
      <c r="G25" s="82" t="s">
        <v>146</v>
      </c>
      <c r="H25" s="104"/>
      <c r="I25" s="105"/>
      <c r="J25" s="106" t="s">
        <v>301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 t="s">
        <v>331</v>
      </c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307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/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/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304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305</v>
      </c>
      <c r="G47" s="82"/>
      <c r="H47" s="104"/>
      <c r="I47" s="131"/>
      <c r="J47" s="132" t="s">
        <v>334</v>
      </c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/>
      <c r="D49" s="82" t="s">
        <v>215</v>
      </c>
      <c r="E49" s="104"/>
      <c r="F49" s="103"/>
      <c r="G49" s="82"/>
      <c r="H49" s="135"/>
      <c r="I49" s="131"/>
      <c r="J49" s="132" t="s">
        <v>334</v>
      </c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 t="s">
        <v>327</v>
      </c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300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260" t="s">
        <v>234</v>
      </c>
      <c r="H56" s="261"/>
      <c r="I56" s="262" t="s">
        <v>335</v>
      </c>
      <c r="J56" s="264"/>
    </row>
    <row r="57" spans="1:13" ht="23.4" customHeight="1" x14ac:dyDescent="0.4">
      <c r="B57" s="125" t="s">
        <v>235</v>
      </c>
      <c r="C57" s="140"/>
      <c r="D57" s="82" t="s">
        <v>236</v>
      </c>
      <c r="E57" s="104"/>
      <c r="F57" s="103"/>
      <c r="G57" s="266" t="s">
        <v>237</v>
      </c>
      <c r="H57" s="267"/>
      <c r="I57" s="263"/>
      <c r="J57" s="265"/>
    </row>
    <row r="58" spans="1:13" s="96" customFormat="1" ht="23.4" customHeight="1" x14ac:dyDescent="0.4">
      <c r="B58" s="107" t="s">
        <v>238</v>
      </c>
      <c r="C58" s="100"/>
      <c r="D58" s="80" t="s">
        <v>239</v>
      </c>
      <c r="E58" s="92"/>
      <c r="F58" s="93"/>
      <c r="G58" s="276" t="s">
        <v>240</v>
      </c>
      <c r="H58" s="277"/>
      <c r="I58" s="273" t="s">
        <v>322</v>
      </c>
      <c r="J58" s="274"/>
    </row>
    <row r="59" spans="1:13" ht="23.4" customHeight="1" x14ac:dyDescent="0.4">
      <c r="B59" s="84" t="s">
        <v>241</v>
      </c>
      <c r="C59" s="100"/>
      <c r="D59" s="82" t="s">
        <v>242</v>
      </c>
      <c r="E59" s="104"/>
      <c r="F59" s="141" t="s">
        <v>313</v>
      </c>
      <c r="G59" s="266" t="s">
        <v>243</v>
      </c>
      <c r="H59" s="267"/>
      <c r="I59" s="263"/>
      <c r="J59" s="275"/>
    </row>
    <row r="60" spans="1:13" s="96" customFormat="1" ht="23.4" customHeight="1" x14ac:dyDescent="0.4">
      <c r="B60" s="80" t="s">
        <v>244</v>
      </c>
      <c r="C60" s="93"/>
      <c r="D60" s="115" t="s">
        <v>245</v>
      </c>
      <c r="E60" s="116"/>
      <c r="F60" s="117"/>
      <c r="G60" s="276" t="s">
        <v>246</v>
      </c>
      <c r="H60" s="277"/>
      <c r="I60" s="273" t="s">
        <v>323</v>
      </c>
      <c r="J60" s="274"/>
      <c r="M60" s="163"/>
    </row>
    <row r="61" spans="1:13" ht="23.4" customHeight="1" x14ac:dyDescent="0.4">
      <c r="B61" s="82" t="s">
        <v>247</v>
      </c>
      <c r="C61" s="103"/>
      <c r="D61" s="125" t="s">
        <v>248</v>
      </c>
      <c r="E61" s="138"/>
      <c r="F61" s="140"/>
      <c r="G61" s="266" t="s">
        <v>249</v>
      </c>
      <c r="H61" s="267"/>
      <c r="I61" s="263"/>
      <c r="J61" s="275"/>
    </row>
    <row r="62" spans="1:13" s="96" customFormat="1" ht="23.4" customHeight="1" x14ac:dyDescent="0.4">
      <c r="B62" s="107" t="s">
        <v>250</v>
      </c>
      <c r="C62" s="100"/>
      <c r="D62" s="80" t="s">
        <v>251</v>
      </c>
      <c r="E62" s="92"/>
      <c r="F62" s="93"/>
      <c r="G62" s="278" t="s">
        <v>252</v>
      </c>
      <c r="H62" s="277"/>
      <c r="I62" s="279">
        <v>7.18</v>
      </c>
      <c r="J62" s="281"/>
    </row>
    <row r="63" spans="1:13" ht="23.4" customHeight="1" x14ac:dyDescent="0.4">
      <c r="B63" s="84" t="s">
        <v>253</v>
      </c>
      <c r="C63" s="103"/>
      <c r="D63" s="82" t="s">
        <v>254</v>
      </c>
      <c r="E63" s="104"/>
      <c r="F63" s="106"/>
      <c r="G63" s="283" t="s">
        <v>255</v>
      </c>
      <c r="H63" s="267"/>
      <c r="I63" s="280"/>
      <c r="J63" s="282"/>
    </row>
    <row r="64" spans="1:13" ht="23.4" customHeight="1" x14ac:dyDescent="0.4">
      <c r="A64" s="96"/>
      <c r="B64" s="80" t="s">
        <v>256</v>
      </c>
      <c r="C64" s="100"/>
      <c r="D64" s="80" t="s">
        <v>257</v>
      </c>
      <c r="E64" s="142"/>
      <c r="F64" s="93"/>
      <c r="G64" s="276" t="s">
        <v>258</v>
      </c>
      <c r="H64" s="277"/>
      <c r="I64" s="273" t="s">
        <v>324</v>
      </c>
      <c r="J64" s="274"/>
      <c r="K64" s="96"/>
    </row>
    <row r="65" spans="1:11" ht="23.4" customHeight="1" x14ac:dyDescent="0.4">
      <c r="B65" s="84" t="s">
        <v>259</v>
      </c>
      <c r="C65" s="99"/>
      <c r="D65" s="82" t="s">
        <v>260</v>
      </c>
      <c r="E65" s="104"/>
      <c r="F65" s="135"/>
      <c r="G65" s="266" t="s">
        <v>261</v>
      </c>
      <c r="H65" s="267"/>
      <c r="I65" s="263"/>
      <c r="J65" s="275"/>
    </row>
    <row r="66" spans="1:11" ht="23.4" customHeight="1" x14ac:dyDescent="0.4">
      <c r="B66" s="80" t="s">
        <v>262</v>
      </c>
      <c r="C66" s="93"/>
      <c r="D66" s="80" t="s">
        <v>263</v>
      </c>
      <c r="E66" s="142"/>
      <c r="F66" s="93"/>
      <c r="G66" s="278" t="s">
        <v>264</v>
      </c>
      <c r="H66" s="277"/>
      <c r="I66" s="273" t="s">
        <v>336</v>
      </c>
      <c r="J66" s="274"/>
    </row>
    <row r="67" spans="1:11" ht="23.4" customHeight="1" x14ac:dyDescent="0.4">
      <c r="B67" s="82" t="s">
        <v>265</v>
      </c>
      <c r="C67" s="103"/>
      <c r="D67" s="82" t="s">
        <v>266</v>
      </c>
      <c r="E67" s="104"/>
      <c r="F67" s="106"/>
      <c r="G67" s="283" t="s">
        <v>267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268</v>
      </c>
      <c r="C69" s="143" t="s">
        <v>269</v>
      </c>
      <c r="D69" s="288" t="s">
        <v>314</v>
      </c>
      <c r="E69" s="289"/>
      <c r="F69" s="144" t="s">
        <v>270</v>
      </c>
      <c r="G69" s="145" t="s">
        <v>271</v>
      </c>
      <c r="H69" s="292" t="s">
        <v>315</v>
      </c>
      <c r="I69" s="145" t="s">
        <v>272</v>
      </c>
      <c r="J69" s="294" t="s">
        <v>315</v>
      </c>
    </row>
    <row r="70" spans="1:11" ht="21.6" customHeight="1" x14ac:dyDescent="0.3">
      <c r="B70" s="285"/>
      <c r="C70" s="146" t="s">
        <v>273</v>
      </c>
      <c r="D70" s="290"/>
      <c r="E70" s="291"/>
      <c r="F70" s="147" t="s">
        <v>274</v>
      </c>
      <c r="G70" s="148" t="s">
        <v>275</v>
      </c>
      <c r="H70" s="293"/>
      <c r="I70" s="148" t="s">
        <v>276</v>
      </c>
      <c r="J70" s="295"/>
    </row>
    <row r="71" spans="1:11" ht="21" x14ac:dyDescent="0.3">
      <c r="B71" s="286"/>
      <c r="C71" s="149" t="s">
        <v>277</v>
      </c>
      <c r="D71" s="150" t="s">
        <v>278</v>
      </c>
      <c r="E71" s="143" t="s">
        <v>279</v>
      </c>
      <c r="F71" s="144" t="s">
        <v>280</v>
      </c>
      <c r="G71" s="145" t="s">
        <v>271</v>
      </c>
      <c r="H71" s="292" t="s">
        <v>328</v>
      </c>
      <c r="I71" s="145" t="s">
        <v>272</v>
      </c>
      <c r="J71" s="292" t="s">
        <v>328</v>
      </c>
    </row>
    <row r="72" spans="1:11" ht="42" customHeight="1" x14ac:dyDescent="0.3">
      <c r="B72" s="287"/>
      <c r="C72" s="151">
        <v>0.4201388888888889</v>
      </c>
      <c r="D72" s="151">
        <v>0.46180555555555558</v>
      </c>
      <c r="E72" s="152" t="s">
        <v>281</v>
      </c>
      <c r="F72" s="147" t="s">
        <v>282</v>
      </c>
      <c r="G72" s="153" t="s">
        <v>275</v>
      </c>
      <c r="H72" s="293"/>
      <c r="I72" s="153" t="s">
        <v>276</v>
      </c>
      <c r="J72" s="293"/>
    </row>
    <row r="73" spans="1:11" ht="21.6" customHeight="1" x14ac:dyDescent="0.3">
      <c r="B73" s="154" t="s">
        <v>283</v>
      </c>
      <c r="C73" s="299">
        <v>206</v>
      </c>
      <c r="D73" s="299">
        <v>203</v>
      </c>
      <c r="E73" s="301">
        <f>1-(D73/C73)</f>
        <v>1.4563106796116498E-2</v>
      </c>
      <c r="F73" s="303" t="s">
        <v>284</v>
      </c>
      <c r="G73" s="306"/>
      <c r="H73" s="307"/>
      <c r="I73" s="307"/>
      <c r="J73" s="308"/>
    </row>
    <row r="74" spans="1:11" ht="21.6" customHeight="1" x14ac:dyDescent="0.3">
      <c r="B74" s="155" t="s">
        <v>285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286</v>
      </c>
      <c r="C75" s="299">
        <v>215</v>
      </c>
      <c r="D75" s="299">
        <v>209</v>
      </c>
      <c r="E75" s="301">
        <f>1-(D75/C75)</f>
        <v>2.7906976744186074E-2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287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288</v>
      </c>
      <c r="C77" s="315"/>
      <c r="D77" s="315"/>
      <c r="E77" s="325" t="s">
        <v>303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289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290</v>
      </c>
      <c r="C79" s="315"/>
      <c r="D79" s="315"/>
      <c r="E79" s="325" t="s">
        <v>1</v>
      </c>
      <c r="F79" s="156" t="s">
        <v>291</v>
      </c>
      <c r="G79" s="327" t="s">
        <v>325</v>
      </c>
      <c r="H79" s="329"/>
      <c r="I79" s="330"/>
      <c r="J79" s="331"/>
      <c r="K79" s="76"/>
    </row>
    <row r="80" spans="1:11" ht="21" customHeight="1" x14ac:dyDescent="0.3">
      <c r="B80" s="155" t="s">
        <v>292</v>
      </c>
      <c r="C80" s="316"/>
      <c r="D80" s="316"/>
      <c r="E80" s="326"/>
      <c r="F80" s="157" t="s">
        <v>293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294</v>
      </c>
      <c r="C81" s="319" t="s">
        <v>308</v>
      </c>
      <c r="D81" s="321"/>
      <c r="E81" s="159" t="s">
        <v>295</v>
      </c>
      <c r="F81" s="317">
        <v>45704</v>
      </c>
      <c r="G81" s="159" t="s">
        <v>296</v>
      </c>
      <c r="H81" s="319"/>
      <c r="I81" s="320"/>
      <c r="J81" s="321"/>
      <c r="K81" s="96"/>
    </row>
    <row r="82" spans="1:11" ht="28.2" customHeight="1" x14ac:dyDescent="0.3">
      <c r="B82" s="160" t="s">
        <v>297</v>
      </c>
      <c r="C82" s="322"/>
      <c r="D82" s="324"/>
      <c r="E82" s="161" t="s">
        <v>298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2025-03-25T13:57:05Z</cp:lastPrinted>
  <dcterms:created xsi:type="dcterms:W3CDTF">2001-08-01T17:12:05Z</dcterms:created>
  <dcterms:modified xsi:type="dcterms:W3CDTF">2025-03-25T13:57:08Z</dcterms:modified>
</cp:coreProperties>
</file>