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8_{E83E2BE1-4B5D-47F9-9EBF-AC49E4C016CF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<sst xmlns="http://schemas.openxmlformats.org/spreadsheetml/2006/main" count="366" uniqueCount="328">
  <si>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</si>
  <si>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</si>
  <si>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</si>
  <si>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</si>
  <si>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</si>
  <si>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</si>
  <si>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</si>
  <si>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</si>
  <si>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</si>
  <si>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</si>
  <si>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</si>
  <si>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</si>
  <si>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</si>
  <si>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</si>
  <si>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</si>
  <si>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</si>
  <si>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</si>
  <si>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</si>
  <si>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</si>
  <si>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</si>
  <si>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</si>
  <si>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</si>
  <si>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</si>
  <si>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</si>
  <si>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</si>
  <si>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</si>
  <si>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</si>
  <si>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</si>
  <si>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</si>
  <si>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</si>
  <si>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</si>
  <si>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</si>
  <si>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</si>
  <si>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</si>
  <si>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</si>
  <si>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</si>
  <si>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</si>
  <si>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</si>
  <si>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</si>
  <si>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</si>
  <si>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</si>
  <si>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</si>
  <si>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</si>
  <si>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</si>
  <si>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</si>
  <si>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</si>
  <si>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</si>
  <si>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</si>
  <si>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</si>
  <si>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</si>
  <si>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</si>
  <si>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</si>
  <si>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</si>
  <si>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</si>
  <si>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</si>
  <si>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</si>
  <si>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</si>
  <si>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</si>
  <si>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</si>
  <si>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</si>
  <si>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</si>
  <si>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</si>
  <si>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</si>
  <si>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</si>
  <si>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</si>
  <si>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</si>
  <si>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</si>
  <si>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</si>
  <si>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</si>
  <si>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</si>
  <si>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</si>
  <si>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</si>
  <si>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</si>
  <si>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</si>
  <si>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</si>
  <si>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</si>
  <si>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</si>
  <si>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</si>
  <si>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</si>
  <si>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</si>
  <si>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</si>
  <si>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</si>
  <si>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</si>
  <si>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</si>
  <si>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</si>
  <si>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</si>
  <si>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</si>
  <si>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</si>
  <si>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</si>
  <si>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</si>
  <si>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</si>
  <si>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</si>
  <si>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</si>
  <si>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</si>
  <si>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</si>
  <si>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</si>
  <si>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</si>
  <si>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</si>
  <si>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</si>
  <si>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</si>
  <si>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</si>
  <si>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</si>
  <si>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</si>
  <si>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</si>
  <si>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</si>
  <si>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</si>
  <si>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</si>
  <si>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</si>
  <si>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</si>
  <si>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</si>
  <si>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</si>
  <si>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</si>
  <si>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</si>
  <si>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</si>
  <si>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</si>
  <si>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</si>
  <si>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</si>
  <si>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</si>
  <si>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</si>
  <si>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</si>
  <si>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</si>
  <si>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</si>
  <si>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</si>
  <si>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</si>
  <si>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</si>
  <si>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</si>
  <si>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</si>
  <si>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</si>
  <si>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</si>
  <si>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</si>
  <si>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</si>
  <si>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</si>
  <si>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</si>
  <si>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</si>
  <si>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</si>
  <si>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</si>
  <si>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</si>
  <si>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</si>
  <si>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</si>
  <si>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</si>
  <si>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</si>
  <si>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</si>
  <si>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</si>
  <si>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</si>
  <si>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</si>
  <si>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</si>
  <si>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</si>
  <si>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</si>
  <si>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</si>
  <si>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</si>
  <si>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</si>
  <si>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</si>
  <si>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</si>
  <si>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</si>
  <si>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</si>
  <si>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</si>
  <si>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</si>
  <si>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</si>
  <si>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</si>
  <si>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</si>
  <si>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</si>
  <si>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</si>
  <si>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</si>
  <si>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</si>
  <si>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</si>
  <si>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</si>
  <si>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</si>
  <si>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</si>
  <si>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</si>
  <si>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</si>
  <si>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</si>
  <si>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</si>
  <si>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</si>
  <si>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</si>
  <si>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</si>
  <si>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</si>
  <si>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</si>
  <si>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</si>
  <si>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</si>
  <si>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</si>
  <si>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</si>
  <si>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</si>
  <si>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</si>
  <si>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</si>
  <si>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</si>
  <si>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</si>
  <si>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</si>
  <si>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</si>
  <si>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</si>
  <si>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</si>
  <si>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</si>
  <si>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</si>
  <si>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</si>
  <si>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</si>
  <si>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</si>
  <si>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</si>
  <si>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</si>
  <si>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</si>
  <si>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</si>
  <si>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</si>
  <si>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</si>
  <si>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</si>
  <si>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</si>
  <si>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</si>
  <si>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</si>
  <si>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</si>
  <si>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</si>
  <si>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</si>
  <si>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</si>
  <si>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</si>
  <si>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</si>
  <si>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</si>
  <si>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</si>
  <si>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</si>
  <si>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</si>
  <si>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</si>
  <si>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</si>
  <si>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</si>
  <si>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</si>
  <si>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</si>
  <si>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</si>
  <si>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</si>
  <si>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</si>
  <si>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</si>
  <si>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</si>
  <si>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</si>
  <si>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</si>
  <si>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</si>
  <si>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</si>
  <si>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</si>
  <si>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</si>
  <si>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</si>
  <si>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</si>
  <si>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</si>
  <si>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</si>
  <si>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</si>
  <si>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</si>
  <si>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</si>
  <si>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</si>
  <si>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</si>
  <si>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</si>
  <si>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</si>
  <si>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</si>
  <si>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</si>
  <si>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</si>
  <si>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</si>
  <si>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</si>
  <si>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</si>
  <si>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</si>
  <si>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</si>
  <si>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</si>
  <si>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</si>
  <si>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</si>
  <si>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</si>
  <si>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</si>
  <si>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</si>
  <si>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</si>
  <si>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</si>
  <si>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</si>
  <si>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</si>
  <si>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</si>
  <si>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</si>
  <si>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</si>
  <si>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</si>
  <si>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</si>
  <si>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</si>
  <si>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</si>
  <si>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</si>
  <si>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</si>
  <si>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</si>
  <si>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</si>
  <si>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</si>
  <si>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</si>
  <si>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</si>
  <si>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</si>
  <si>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</si>
  <si>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</si>
  <si>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</si>
  <si>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</si>
  <si>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</si>
  <si>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</si>
  <si>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</si>
  <si>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</si>
  <si>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</si>
  <si>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</si>
  <si>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</si>
  <si>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</si>
  <si>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</si>
  <si>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</si>
  <si>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</si>
  <si>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</si>
  <si>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</si>
  <si>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</si>
  <si>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</si>
  <si>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</si>
  <si>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</si>
  <si>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</si>
  <si>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</si>
  <si>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</si>
  <si>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</si>
  <si>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</si>
  <si>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</si>
  <si>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(4)</t>
  </si>
  <si>
    <t>NO</t>
  </si>
  <si>
    <t>PU</t>
  </si>
  <si>
    <t xml:space="preserve">RFD SEASAVA </t>
  </si>
  <si>
    <t>10 MT</t>
  </si>
  <si>
    <t>0,160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</si>
  <si>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</si>
  <si>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</si>
  <si>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</si>
  <si>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</si>
  <si>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R</t>
  </si>
  <si>
    <t>12,378</t>
  </si>
  <si>
    <t>9,718</t>
  </si>
  <si>
    <t>PORTUGAL</t>
  </si>
  <si>
    <t xml:space="preserve">inH2O [ X ] inHg [   ] mbar [] </t>
  </si>
  <si>
    <t>1010 Hpa</t>
  </si>
  <si>
    <t>16 Cº</t>
  </si>
  <si>
    <t>05/2027</t>
  </si>
  <si>
    <t>5017330300347</t>
  </si>
  <si>
    <t>18-05-2021</t>
  </si>
  <si>
    <t>20W426090</t>
  </si>
  <si>
    <t>11/20</t>
  </si>
  <si>
    <t>AZ25-028</t>
  </si>
  <si>
    <t>06/2026</t>
  </si>
  <si>
    <t>PRINCESA ARIEL</t>
  </si>
  <si>
    <t>ANDRE FILIPE MEDEIROS FERRÃO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</si>
</sst>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49" fontId="16" fillId="0" borderId="5" xfId="1" applyNumberFormat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45</xdr:row>
      <xdr:rowOff>57150</xdr:rowOff>
    </xdr:from>
    <xdr:to>
      <xdr:col>19</xdr:col>
      <xdr:colOff>230395</xdr:colOff>
      <xdr:row>55</xdr:row>
      <xdr:rowOff>103559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82075" y="7305675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7" workbookViewId="0">
      <selection activeCell="Q63" sqref="Q6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324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5017330300347</v>
      </c>
      <c r="J12" s="160"/>
      <c r="K12" s="146" t="str">
        <f>QUADRO!G79</f>
        <v>18-05-2021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304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20W426090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11/20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R</v>
      </c>
      <c r="H26" s="201"/>
      <c r="I26" s="173" t="str">
        <f>QUADRO!C7</f>
        <v>5017330300347</v>
      </c>
      <c r="J26" s="174"/>
      <c r="K26" s="175">
        <f>QUADRO!F81+366</f>
        <v>46085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301</v>
      </c>
      <c r="H34" s="196"/>
      <c r="I34" s="195" t="s">
        <v>300</v>
      </c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303</v>
      </c>
      <c r="F40" s="194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/>
      <c r="F42" s="201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45719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46084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80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315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PRINCESA ARIEL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327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310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88</v>
      </c>
      <c r="E3" s="222"/>
      <c r="F3" s="222"/>
      <c r="G3" s="222"/>
      <c r="H3" s="223" t="s">
        <v>89</v>
      </c>
      <c r="I3" s="225"/>
      <c r="J3" s="226"/>
    </row>
    <row r="4" spans="2:15" s="58" customFormat="1" ht="23.4" customHeight="1" x14ac:dyDescent="0.4">
      <c r="B4" s="56" t="s">
        <v>90</v>
      </c>
      <c r="C4" s="57"/>
      <c r="D4" s="227" t="s">
        <v>91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92</v>
      </c>
      <c r="C5" s="56"/>
      <c r="H5" s="228" t="s">
        <v>93</v>
      </c>
      <c r="I5" s="230" t="s">
        <v>324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94</v>
      </c>
      <c r="C7" s="233" t="s">
        <v>320</v>
      </c>
      <c r="D7" s="59" t="s">
        <v>95</v>
      </c>
      <c r="E7" s="235" t="s">
        <v>326</v>
      </c>
      <c r="F7" s="236"/>
      <c r="G7" s="60" t="s">
        <v>96</v>
      </c>
      <c r="H7" s="235" t="s">
        <v>305</v>
      </c>
      <c r="I7" s="247"/>
      <c r="J7" s="250">
        <v>8</v>
      </c>
    </row>
    <row r="8" spans="2:15" ht="23.4" customHeight="1" x14ac:dyDescent="0.3">
      <c r="B8" s="61" t="s">
        <v>97</v>
      </c>
      <c r="C8" s="234"/>
      <c r="D8" s="61" t="s">
        <v>98</v>
      </c>
      <c r="E8" s="237"/>
      <c r="F8" s="238"/>
      <c r="G8" s="62" t="s">
        <v>99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319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319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325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325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/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/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9" t="s">
        <v>234</v>
      </c>
      <c r="H56" s="240"/>
      <c r="I56" s="241" t="s">
        <v>322</v>
      </c>
      <c r="J56" s="243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5" t="s">
        <v>237</v>
      </c>
      <c r="H57" s="246"/>
      <c r="I57" s="242"/>
      <c r="J57" s="244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5" t="s">
        <v>240</v>
      </c>
      <c r="H58" s="256"/>
      <c r="I58" s="252" t="s">
        <v>313</v>
      </c>
      <c r="J58" s="253"/>
      <c r="M58" s="136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5" t="s">
        <v>243</v>
      </c>
      <c r="H59" s="246"/>
      <c r="I59" s="242"/>
      <c r="J59" s="25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5" t="s">
        <v>246</v>
      </c>
      <c r="H60" s="256"/>
      <c r="I60" s="252" t="s">
        <v>314</v>
      </c>
      <c r="J60" s="253"/>
      <c r="M60" s="136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5" t="s">
        <v>249</v>
      </c>
      <c r="H61" s="246"/>
      <c r="I61" s="242"/>
      <c r="J61" s="25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7" t="s">
        <v>252</v>
      </c>
      <c r="H62" s="256"/>
      <c r="I62" s="258">
        <v>2.5</v>
      </c>
      <c r="J62" s="260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2" t="s">
        <v>255</v>
      </c>
      <c r="H63" s="246"/>
      <c r="I63" s="259"/>
      <c r="J63" s="261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5" t="s">
        <v>258</v>
      </c>
      <c r="H64" s="256"/>
      <c r="I64" s="252" t="s">
        <v>307</v>
      </c>
      <c r="J64" s="25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5" t="s">
        <v>261</v>
      </c>
      <c r="H65" s="246"/>
      <c r="I65" s="242"/>
      <c r="J65" s="25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7" t="s">
        <v>264</v>
      </c>
      <c r="H66" s="256"/>
      <c r="I66" s="252" t="s">
        <v>323</v>
      </c>
      <c r="J66" s="25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2" t="s">
        <v>267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268</v>
      </c>
      <c r="C69" s="117" t="s">
        <v>269</v>
      </c>
      <c r="D69" s="267" t="s">
        <v>316</v>
      </c>
      <c r="E69" s="268"/>
      <c r="F69" s="118" t="s">
        <v>270</v>
      </c>
      <c r="G69" s="119" t="s">
        <v>271</v>
      </c>
      <c r="H69" s="271" t="s">
        <v>318</v>
      </c>
      <c r="I69" s="119" t="s">
        <v>272</v>
      </c>
      <c r="J69" s="273" t="s">
        <v>318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317</v>
      </c>
      <c r="I71" s="119" t="s">
        <v>272</v>
      </c>
      <c r="J71" s="271" t="s">
        <v>317</v>
      </c>
    </row>
    <row r="72" spans="1:11" ht="42" customHeight="1" x14ac:dyDescent="0.3">
      <c r="B72" s="266"/>
      <c r="C72" s="137">
        <v>0.39930555555555558</v>
      </c>
      <c r="D72" s="137">
        <v>0.44097222222222227</v>
      </c>
      <c r="E72" s="125" t="s">
        <v>281</v>
      </c>
      <c r="F72" s="121" t="s">
        <v>282</v>
      </c>
      <c r="G72" s="126" t="s">
        <v>275</v>
      </c>
      <c r="H72" s="272"/>
      <c r="I72" s="126" t="s">
        <v>276</v>
      </c>
      <c r="J72" s="272"/>
    </row>
    <row r="73" spans="1:11" ht="21.6" customHeight="1" x14ac:dyDescent="0.3">
      <c r="B73" s="127" t="s">
        <v>283</v>
      </c>
      <c r="C73" s="278">
        <v>86.5</v>
      </c>
      <c r="D73" s="278">
        <v>86</v>
      </c>
      <c r="E73" s="280">
        <f>1-(D73/C73)</f>
        <v>5.7803468208093012E-3</v>
      </c>
      <c r="F73" s="282" t="s">
        <v>284</v>
      </c>
      <c r="G73" s="285"/>
      <c r="H73" s="286"/>
      <c r="I73" s="286"/>
      <c r="J73" s="287"/>
    </row>
    <row r="74" spans="1:11" ht="21.6" customHeight="1" x14ac:dyDescent="0.3">
      <c r="B74" s="128" t="s">
        <v>285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7" t="s">
        <v>286</v>
      </c>
      <c r="C75" s="278">
        <v>92.7</v>
      </c>
      <c r="D75" s="278">
        <v>91.4</v>
      </c>
      <c r="E75" s="280">
        <f>1-(D75/C75)</f>
        <v>1.4023732470334394E-2</v>
      </c>
      <c r="F75" s="283"/>
      <c r="G75" s="288"/>
      <c r="H75" s="289"/>
      <c r="I75" s="289"/>
      <c r="J75" s="290"/>
    </row>
    <row r="76" spans="1:11" ht="21.6" customHeight="1" x14ac:dyDescent="0.3">
      <c r="B76" s="128" t="s">
        <v>287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7" t="s">
        <v>288</v>
      </c>
      <c r="C77" s="294"/>
      <c r="D77" s="294"/>
      <c r="E77" s="304" t="s">
        <v>309</v>
      </c>
      <c r="F77" s="283"/>
      <c r="G77" s="288"/>
      <c r="H77" s="289"/>
      <c r="I77" s="289"/>
      <c r="J77" s="290"/>
    </row>
    <row r="78" spans="1:11" ht="21" customHeight="1" x14ac:dyDescent="0.3">
      <c r="B78" s="128" t="s">
        <v>289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7" t="s">
        <v>290</v>
      </c>
      <c r="C79" s="294"/>
      <c r="D79" s="294"/>
      <c r="E79" s="304" t="s">
        <v>1</v>
      </c>
      <c r="F79" s="129" t="s">
        <v>291</v>
      </c>
      <c r="G79" s="306" t="s">
        <v>321</v>
      </c>
      <c r="H79" s="308"/>
      <c r="I79" s="309"/>
      <c r="J79" s="310"/>
      <c r="K79" s="55"/>
    </row>
    <row r="80" spans="1:11" ht="21" customHeight="1" x14ac:dyDescent="0.3">
      <c r="B80" s="128" t="s">
        <v>292</v>
      </c>
      <c r="C80" s="295"/>
      <c r="D80" s="295"/>
      <c r="E80" s="305"/>
      <c r="F80" s="130" t="s">
        <v>293</v>
      </c>
      <c r="G80" s="307"/>
      <c r="H80" s="311"/>
      <c r="I80" s="312"/>
      <c r="J80" s="313"/>
    </row>
    <row r="81" spans="1:11" ht="30" customHeight="1" x14ac:dyDescent="0.3">
      <c r="A81" s="74"/>
      <c r="B81" s="131" t="s">
        <v>294</v>
      </c>
      <c r="C81" s="298" t="s">
        <v>308</v>
      </c>
      <c r="D81" s="300"/>
      <c r="E81" s="132" t="s">
        <v>295</v>
      </c>
      <c r="F81" s="296">
        <v>45719</v>
      </c>
      <c r="G81" s="132" t="s">
        <v>296</v>
      </c>
      <c r="H81" s="298" t="s">
        <v>311</v>
      </c>
      <c r="I81" s="299"/>
      <c r="J81" s="300"/>
      <c r="K81" s="74"/>
    </row>
    <row r="82" spans="1:11" ht="28.2" customHeight="1" x14ac:dyDescent="0.3">
      <c r="B82" s="133" t="s">
        <v>297</v>
      </c>
      <c r="C82" s="301"/>
      <c r="D82" s="303"/>
      <c r="E82" s="134" t="s">
        <v>298</v>
      </c>
      <c r="F82" s="297"/>
      <c r="G82" s="134" t="s">
        <v>0</v>
      </c>
      <c r="H82" s="301"/>
      <c r="I82" s="302"/>
      <c r="J82" s="303"/>
    </row>
    <row r="83" spans="1:11" x14ac:dyDescent="0.3">
      <c r="F83" s="135"/>
    </row>
    <row r="84" spans="1:11" x14ac:dyDescent="0.3">
      <c r="F84" s="135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2025-03-05T11:21:30Z</cp:lastPrinted>
  <dcterms:created xsi:type="dcterms:W3CDTF">2001-08-01T17:12:05Z</dcterms:created>
  <dcterms:modified xsi:type="dcterms:W3CDTF">2025-05-22T12:26:56Z</dcterms:modified>
</cp:coreProperties>
</file>