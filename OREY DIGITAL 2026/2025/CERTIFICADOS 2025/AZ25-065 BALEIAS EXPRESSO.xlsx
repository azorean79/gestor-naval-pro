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eLivro"/>
  <bookViews>
    <workbookView visibility="visible" minimized="0" showHorizontalScroll="1" showVerticalScroll="1" showSheetTabs="1" xWindow="-108" yWindow="-108" windowWidth="23256" windowHeight="12456" tabRatio="745" firstSheet="0" activeTab="1" autoFilterDateGrouping="1"/>
  </bookViews>
  <sheets>
    <sheet name="CERTIFICADO" sheetId="1" state="visible" r:id="rId1"/>
    <sheet name="QUADRO" sheetId="2" state="visible" r:id="rId2"/>
  </sheets>
  <definedNames>
    <definedName name="_xlnm.Print_Area" localSheetId="0">'CERTIFICADO'!$A$1:$L$77</definedName>
    <definedName name="_xlnm.Print_Area" localSheetId="1">'QUADRO'!$A$2:$K$85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3">
    <numFmt numFmtId="164" formatCode="mm/yyyy"/>
    <numFmt numFmtId="165" formatCode="0.000"/>
    <numFmt numFmtId="166" formatCode="0.0"/>
  </numFmts>
  <fonts count="3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sz val="6"/>
    </font>
    <font>
      <name val="Arial"/>
      <family val="2"/>
      <b val="1"/>
      <sz val="20"/>
    </font>
    <font>
      <name val="Arial"/>
      <family val="2"/>
      <sz val="9"/>
    </font>
    <font>
      <name val="Times New Roman"/>
      <family val="1"/>
      <sz val="8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8"/>
    </font>
    <font>
      <name val="Times New Roman"/>
      <family val="1"/>
      <b val="1"/>
      <sz val="12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sz val="18"/>
    </font>
    <font>
      <name val="Arial"/>
      <family val="2"/>
      <sz val="18"/>
    </font>
    <font>
      <name val="Arial"/>
      <family val="2"/>
      <sz val="16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rgb="FF002060"/>
      <sz val="10"/>
    </font>
    <font>
      <name val="Arial"/>
      <family val="2"/>
      <b val="1"/>
      <color rgb="FF002060"/>
      <sz val="14"/>
    </font>
    <font>
      <name val="Times New Roman"/>
      <family val="1"/>
      <color indexed="62"/>
      <sz val="6.5"/>
    </font>
    <font>
      <name val="Times New Roman"/>
      <family val="1"/>
      <sz val="6.5"/>
    </font>
    <font>
      <name val="Arial"/>
      <family val="2"/>
      <b val="1"/>
      <sz val="9"/>
    </font>
    <font>
      <name val="Arial"/>
      <family val="2"/>
      <color indexed="30"/>
      <sz val="8"/>
      <u val="single"/>
    </font>
    <font>
      <name val="Arial"/>
      <family val="2"/>
      <color indexed="62"/>
      <sz val="8"/>
    </font>
    <font>
      <name val="Arial"/>
      <family val="2"/>
      <color indexed="30"/>
      <sz val="8"/>
    </font>
    <font>
      <name val="Arial"/>
      <family val="2"/>
      <b val="1"/>
      <color theme="0"/>
      <sz val="10"/>
    </font>
  </fonts>
  <fills count="9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8"/>
      </bottom>
      <diagonal/>
    </border>
  </borders>
  <cellStyleXfs count="2">
    <xf numFmtId="0" fontId="0" fillId="0" borderId="0"/>
    <xf numFmtId="0" fontId="1" fillId="0" borderId="0"/>
  </cellStyleXfs>
  <cellXfs count="37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left" vertical="center"/>
    </xf>
    <xf numFmtId="0" fontId="6" fillId="0" borderId="16" applyAlignment="1" pivotButton="0" quotePrefix="0" xfId="0">
      <alignment horizontal="left" vertical="top"/>
    </xf>
    <xf numFmtId="0" fontId="9" fillId="0" borderId="2" applyAlignment="1" applyProtection="1" pivotButton="0" quotePrefix="0" xfId="0">
      <alignment horizontal="center" vertical="center"/>
      <protection locked="0" hidden="0"/>
    </xf>
    <xf numFmtId="0" fontId="6" fillId="0" borderId="16" applyAlignment="1" pivotButton="0" quotePrefix="0" xfId="0">
      <alignment horizontal="center" vertical="top"/>
    </xf>
    <xf numFmtId="0" fontId="9" fillId="0" borderId="0" applyProtection="1" pivotButton="0" quotePrefix="0" xfId="0">
      <protection locked="0" hidden="0"/>
    </xf>
    <xf numFmtId="0" fontId="9" fillId="0" borderId="0" pivotButton="0" quotePrefix="0" xfId="0"/>
    <xf numFmtId="0" fontId="9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0" pivotButton="0" quotePrefix="0" xfId="0"/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0" fillId="0" borderId="0" applyAlignment="1" applyProtection="1" pivotButton="0" quotePrefix="0" xfId="0">
      <alignment vertical="center"/>
      <protection locked="0" hidden="0"/>
    </xf>
    <xf numFmtId="0" fontId="13" fillId="0" borderId="5" applyAlignment="1" pivotButton="0" quotePrefix="0" xfId="0">
      <alignment horizontal="left" vertical="top"/>
    </xf>
    <xf numFmtId="0" fontId="13" fillId="0" borderId="6" applyAlignment="1" pivotButton="0" quotePrefix="0" xfId="0">
      <alignment horizontal="left" vertical="top"/>
    </xf>
    <xf numFmtId="0" fontId="13" fillId="0" borderId="7" applyAlignment="1" pivotButton="0" quotePrefix="0" xfId="0">
      <alignment horizontal="left" vertical="top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49" fontId="9" fillId="0" borderId="0" applyAlignment="1" applyProtection="1" pivotButton="0" quotePrefix="0" xfId="0">
      <alignment vertical="center"/>
      <protection locked="0" hidden="0"/>
    </xf>
    <xf numFmtId="0" fontId="14" fillId="0" borderId="7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9" fillId="0" borderId="0" applyAlignment="1" applyProtection="1" pivotButton="0" quotePrefix="0" xfId="0">
      <alignment horizontal="left" vertical="center"/>
      <protection locked="0" hidden="0"/>
    </xf>
    <xf numFmtId="49" fontId="9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3" fillId="0" borderId="5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5" fillId="0" borderId="0" pivotButton="0" quotePrefix="0" xfId="1"/>
    <xf numFmtId="0" fontId="16" fillId="0" borderId="0" applyAlignment="1" pivotButton="0" quotePrefix="0" xfId="1">
      <alignment horizontal="centerContinuous"/>
    </xf>
    <xf numFmtId="0" fontId="16" fillId="0" borderId="0" applyAlignment="1" pivotButton="0" quotePrefix="0" xfId="1">
      <alignment horizontal="centerContinuous" vertical="center"/>
    </xf>
    <xf numFmtId="0" fontId="19" fillId="0" borderId="0" pivotButton="0" quotePrefix="0" xfId="1"/>
    <xf numFmtId="0" fontId="12" fillId="0" borderId="5" pivotButton="0" quotePrefix="0" xfId="1"/>
    <xf numFmtId="0" fontId="12" fillId="7" borderId="5" pivotButton="0" quotePrefix="0" xfId="1"/>
    <xf numFmtId="0" fontId="15" fillId="0" borderId="2" pivotButton="0" quotePrefix="0" xfId="1"/>
    <xf numFmtId="0" fontId="15" fillId="7" borderId="2" pivotButton="0" quotePrefix="0" xfId="1"/>
    <xf numFmtId="0" fontId="15" fillId="0" borderId="3" pivotButton="0" quotePrefix="0" xfId="1"/>
    <xf numFmtId="0" fontId="12" fillId="0" borderId="0" applyAlignment="1" pivotButton="0" quotePrefix="0" xfId="1">
      <alignment horizontal="right"/>
    </xf>
    <xf numFmtId="0" fontId="20" fillId="7" borderId="0" pivotButton="0" quotePrefix="0" xfId="1"/>
    <xf numFmtId="16" fontId="21" fillId="7" borderId="0" applyAlignment="1" pivotButton="0" quotePrefix="0" xfId="1">
      <alignment horizontal="left"/>
    </xf>
    <xf numFmtId="0" fontId="21" fillId="7" borderId="4" applyAlignment="1" pivotButton="0" quotePrefix="0" xfId="1">
      <alignment horizontal="left"/>
    </xf>
    <xf numFmtId="0" fontId="12" fillId="2" borderId="5" pivotButton="0" quotePrefix="0" xfId="1"/>
    <xf numFmtId="0" fontId="12" fillId="2" borderId="7" applyAlignment="1" pivotButton="0" quotePrefix="0" xfId="1">
      <alignment horizontal="right"/>
    </xf>
    <xf numFmtId="0" fontId="12" fillId="0" borderId="7" pivotButton="0" quotePrefix="0" xfId="1"/>
    <xf numFmtId="0" fontId="16" fillId="0" borderId="6" applyAlignment="1" pivotButton="0" quotePrefix="0" xfId="1">
      <alignment horizontal="right"/>
    </xf>
    <xf numFmtId="0" fontId="16" fillId="0" borderId="7" applyAlignment="1" pivotButton="0" quotePrefix="0" xfId="1">
      <alignment horizontal="right"/>
    </xf>
    <xf numFmtId="0" fontId="16" fillId="0" borderId="6" applyAlignment="1" pivotButton="0" quotePrefix="0" xfId="1">
      <alignment horizontal="left"/>
    </xf>
    <xf numFmtId="0" fontId="12" fillId="0" borderId="0" pivotButton="0" quotePrefix="0" xfId="1"/>
    <xf numFmtId="0" fontId="15" fillId="2" borderId="3" pivotButton="0" quotePrefix="0" xfId="1"/>
    <xf numFmtId="0" fontId="16" fillId="2" borderId="0" applyAlignment="1" pivotButton="0" quotePrefix="0" xfId="1">
      <alignment horizontal="right"/>
    </xf>
    <xf numFmtId="0" fontId="16" fillId="0" borderId="4" applyAlignment="1" pivotButton="0" quotePrefix="0" xfId="1">
      <alignment horizontal="right"/>
    </xf>
    <xf numFmtId="0" fontId="16" fillId="0" borderId="0" applyAlignment="1" pivotButton="0" quotePrefix="0" xfId="1">
      <alignment horizontal="right"/>
    </xf>
    <xf numFmtId="0" fontId="16" fillId="0" borderId="4" applyAlignment="1" pivotButton="0" quotePrefix="0" xfId="1">
      <alignment horizontal="left"/>
    </xf>
    <xf numFmtId="0" fontId="16" fillId="0" borderId="1" applyAlignment="1" pivotButton="0" quotePrefix="0" xfId="1">
      <alignment horizontal="right"/>
    </xf>
    <xf numFmtId="0" fontId="15" fillId="0" borderId="8" pivotButton="0" quotePrefix="0" xfId="1"/>
    <xf numFmtId="49" fontId="16" fillId="3" borderId="8" applyAlignment="1" applyProtection="1" pivotButton="0" quotePrefix="0" xfId="1">
      <alignment horizontal="right" vertical="center"/>
      <protection locked="0" hidden="0"/>
    </xf>
    <xf numFmtId="49" fontId="16" fillId="3" borderId="1" applyAlignment="1" applyProtection="1" pivotButton="0" quotePrefix="0" xfId="1">
      <alignment horizontal="right" vertical="center"/>
      <protection locked="0" hidden="0"/>
    </xf>
    <xf numFmtId="0" fontId="12" fillId="0" borderId="3" pivotButton="0" quotePrefix="0" xfId="1"/>
    <xf numFmtId="16" fontId="16" fillId="0" borderId="6" applyAlignment="1" pivotButton="0" quotePrefix="0" xfId="1">
      <alignment horizontal="left"/>
    </xf>
    <xf numFmtId="0" fontId="16" fillId="0" borderId="8" applyAlignment="1" pivotButton="0" quotePrefix="0" xfId="1">
      <alignment horizontal="right"/>
    </xf>
    <xf numFmtId="49" fontId="16" fillId="0" borderId="1" applyAlignment="1" pivotButton="0" quotePrefix="0" xfId="1">
      <alignment horizontal="right"/>
    </xf>
    <xf numFmtId="0" fontId="16" fillId="0" borderId="1" applyAlignment="1" pivotButton="0" quotePrefix="0" xfId="1">
      <alignment horizontal="left"/>
    </xf>
    <xf numFmtId="0" fontId="12" fillId="2" borderId="3" pivotButton="0" quotePrefix="0" xfId="1"/>
    <xf numFmtId="0" fontId="12" fillId="2" borderId="0" pivotButton="0" quotePrefix="0" xfId="1"/>
    <xf numFmtId="0" fontId="16" fillId="2" borderId="4" applyAlignment="1" pivotButton="0" quotePrefix="0" xfId="1">
      <alignment horizontal="right"/>
    </xf>
    <xf numFmtId="0" fontId="16" fillId="3" borderId="0" applyAlignment="1" pivotButton="0" quotePrefix="0" xfId="1">
      <alignment horizontal="right"/>
    </xf>
    <xf numFmtId="0" fontId="15" fillId="2" borderId="0" pivotButton="0" quotePrefix="0" xfId="1"/>
    <xf numFmtId="0" fontId="16" fillId="2" borderId="4" applyAlignment="1" applyProtection="1" pivotButton="0" quotePrefix="0" xfId="1">
      <alignment horizontal="right" vertical="center"/>
      <protection locked="0" hidden="0"/>
    </xf>
    <xf numFmtId="0" fontId="16" fillId="3" borderId="1" applyAlignment="1" applyProtection="1" pivotButton="0" quotePrefix="0" xfId="1">
      <alignment horizontal="right" vertical="center"/>
      <protection locked="0" hidden="0"/>
    </xf>
    <xf numFmtId="0" fontId="16" fillId="2" borderId="7" applyAlignment="1" pivotButton="0" quotePrefix="0" xfId="1">
      <alignment horizontal="right"/>
    </xf>
    <xf numFmtId="0" fontId="12" fillId="2" borderId="6" pivotButton="0" quotePrefix="0" xfId="1"/>
    <xf numFmtId="0" fontId="12" fillId="2" borderId="7" pivotButton="0" quotePrefix="0" xfId="1"/>
    <xf numFmtId="0" fontId="15" fillId="2" borderId="2" pivotButton="0" quotePrefix="0" xfId="1"/>
    <xf numFmtId="0" fontId="16" fillId="2" borderId="8" applyAlignment="1" pivotButton="0" quotePrefix="0" xfId="1">
      <alignment horizontal="right"/>
    </xf>
    <xf numFmtId="0" fontId="15" fillId="2" borderId="1" pivotButton="0" quotePrefix="0" xfId="1"/>
    <xf numFmtId="0" fontId="15" fillId="2" borderId="4" pivotButton="0" quotePrefix="0" xfId="1"/>
    <xf numFmtId="0" fontId="16" fillId="0" borderId="5" applyAlignment="1" pivotButton="0" quotePrefix="0" xfId="1">
      <alignment horizontal="left"/>
    </xf>
    <xf numFmtId="0" fontId="16" fillId="4" borderId="1" applyAlignment="1" applyProtection="1" pivotButton="0" quotePrefix="0" xfId="1">
      <alignment horizontal="right" vertical="center"/>
      <protection locked="0" hidden="0"/>
    </xf>
    <xf numFmtId="49" fontId="16" fillId="4" borderId="2" applyAlignment="1" applyProtection="1" pivotButton="0" quotePrefix="0" xfId="1">
      <alignment horizontal="right" vertical="center"/>
      <protection locked="0" hidden="0"/>
    </xf>
    <xf numFmtId="49" fontId="16" fillId="4" borderId="1" applyAlignment="1" applyProtection="1" pivotButton="0" quotePrefix="0" xfId="1">
      <alignment horizontal="right" vertical="center"/>
      <protection locked="0" hidden="0"/>
    </xf>
    <xf numFmtId="0" fontId="12" fillId="0" borderId="6" pivotButton="0" quotePrefix="0" xfId="1"/>
    <xf numFmtId="0" fontId="16" fillId="0" borderId="0" applyAlignment="1" pivotButton="0" quotePrefix="0" xfId="1">
      <alignment horizontal="left"/>
    </xf>
    <xf numFmtId="0" fontId="15" fillId="0" borderId="1" pivotButton="0" quotePrefix="0" xfId="1"/>
    <xf numFmtId="0" fontId="16" fillId="0" borderId="7" applyAlignment="1" pivotButton="0" quotePrefix="0" xfId="1">
      <alignment horizontal="left"/>
    </xf>
    <xf numFmtId="0" fontId="15" fillId="0" borderId="4" pivotButton="0" quotePrefix="0" xfId="1"/>
    <xf numFmtId="0" fontId="15" fillId="2" borderId="8" pivotButton="0" quotePrefix="0" xfId="1"/>
    <xf numFmtId="0" fontId="16" fillId="2" borderId="6" applyAlignment="1" pivotButton="0" quotePrefix="0" xfId="1">
      <alignment horizontal="right"/>
    </xf>
    <xf numFmtId="0" fontId="16" fillId="2" borderId="1" applyAlignment="1" pivotButton="0" quotePrefix="0" xfId="1">
      <alignment horizontal="right"/>
    </xf>
    <xf numFmtId="49" fontId="16" fillId="0" borderId="1" applyAlignment="1" applyProtection="1" pivotButton="0" quotePrefix="0" xfId="1">
      <alignment horizontal="right" vertical="center"/>
      <protection locked="0" hidden="0"/>
    </xf>
    <xf numFmtId="0" fontId="15" fillId="0" borderId="7" pivotButton="0" quotePrefix="0" xfId="1"/>
    <xf numFmtId="0" fontId="12" fillId="4" borderId="9" applyAlignment="1" pivotButton="0" quotePrefix="0" xfId="1">
      <alignment horizontal="left"/>
    </xf>
    <xf numFmtId="49" fontId="16" fillId="4" borderId="9" applyAlignment="1" applyProtection="1" pivotButton="0" quotePrefix="0" xfId="1">
      <alignment vertical="center"/>
      <protection locked="0" hidden="0"/>
    </xf>
    <xf numFmtId="0" fontId="12" fillId="4" borderId="5" applyAlignment="1" pivotButton="0" quotePrefix="0" xfId="1">
      <alignment horizontal="left"/>
    </xf>
    <xf numFmtId="0" fontId="15" fillId="4" borderId="10" applyAlignment="1" pivotButton="0" quotePrefix="0" xfId="1">
      <alignment horizontal="left"/>
    </xf>
    <xf numFmtId="49" fontId="19" fillId="4" borderId="10" applyAlignment="1" applyProtection="1" pivotButton="0" quotePrefix="0" xfId="1">
      <alignment vertical="center"/>
      <protection locked="0" hidden="0"/>
    </xf>
    <xf numFmtId="0" fontId="15" fillId="4" borderId="2" applyAlignment="1" pivotButton="0" quotePrefix="0" xfId="1">
      <alignment horizontal="left"/>
    </xf>
    <xf numFmtId="0" fontId="12" fillId="4" borderId="11" applyAlignment="1" pivotButton="0" quotePrefix="0" xfId="1">
      <alignment horizontal="center"/>
    </xf>
    <xf numFmtId="0" fontId="12" fillId="4" borderId="9" applyAlignment="1" pivotButton="0" quotePrefix="0" xfId="1">
      <alignment horizontal="center"/>
    </xf>
    <xf numFmtId="20" fontId="12" fillId="4" borderId="12" applyAlignment="1" pivotButton="0" quotePrefix="0" xfId="1">
      <alignment horizontal="center" vertical="center"/>
    </xf>
    <xf numFmtId="0" fontId="15" fillId="4" borderId="10" applyAlignment="1" pivotButton="0" quotePrefix="0" xfId="1">
      <alignment horizontal="left" vertical="center"/>
    </xf>
    <xf numFmtId="0" fontId="15" fillId="4" borderId="2" applyAlignment="1" pivotButton="0" quotePrefix="0" xfId="1">
      <alignment horizontal="left" vertical="center"/>
    </xf>
    <xf numFmtId="0" fontId="12" fillId="4" borderId="5" pivotButton="0" quotePrefix="0" xfId="1"/>
    <xf numFmtId="0" fontId="15" fillId="4" borderId="2" pivotButton="0" quotePrefix="0" xfId="1"/>
    <xf numFmtId="2" fontId="16" fillId="7" borderId="9" applyAlignment="1" applyProtection="1" pivotButton="0" quotePrefix="0" xfId="1">
      <alignment horizontal="left" vertical="center" wrapText="1"/>
      <protection locked="0" hidden="0"/>
    </xf>
    <xf numFmtId="2" fontId="15" fillId="7" borderId="10" applyAlignment="1" applyProtection="1" pivotButton="0" quotePrefix="0" xfId="1">
      <alignment horizontal="left" vertical="center" wrapText="1"/>
      <protection locked="0" hidden="0"/>
    </xf>
    <xf numFmtId="0" fontId="12" fillId="8" borderId="5" applyAlignment="1" pivotButton="0" quotePrefix="0" xfId="1">
      <alignment horizontal="left" vertical="center"/>
    </xf>
    <xf numFmtId="0" fontId="12" fillId="8" borderId="7" applyAlignment="1" pivotButton="0" quotePrefix="0" xfId="1">
      <alignment horizontal="left" vertical="center"/>
    </xf>
    <xf numFmtId="0" fontId="15" fillId="8" borderId="2" applyAlignment="1" pivotButton="0" quotePrefix="0" xfId="1">
      <alignment horizontal="left" vertical="center"/>
    </xf>
    <xf numFmtId="0" fontId="15" fillId="8" borderId="8" applyAlignment="1" pivotButton="0" quotePrefix="0" xfId="1">
      <alignment horizontal="left" vertical="center"/>
    </xf>
    <xf numFmtId="0" fontId="15" fillId="0" borderId="0" applyAlignment="1" pivotButton="0" quotePrefix="0" xfId="1">
      <alignment horizontal="center"/>
    </xf>
    <xf numFmtId="49" fontId="12" fillId="0" borderId="0" pivotButton="0" quotePrefix="0" xfId="1"/>
    <xf numFmtId="0" fontId="22" fillId="0" borderId="2" applyAlignment="1" applyProtection="1" pivotButton="0" quotePrefix="0" xfId="0">
      <alignment horizontal="center" vertical="center"/>
      <protection locked="0" hidden="0"/>
    </xf>
    <xf numFmtId="0" fontId="22" fillId="0" borderId="8" applyAlignment="1" applyProtection="1" pivotButton="0" quotePrefix="0" xfId="0">
      <alignment horizontal="center" vertical="center"/>
      <protection locked="0" hidden="0"/>
    </xf>
    <xf numFmtId="0" fontId="2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top"/>
    </xf>
    <xf numFmtId="14" fontId="22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49" fontId="9" fillId="0" borderId="7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center" vertical="center"/>
      <protection locked="0" hidden="0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4" fontId="22" fillId="0" borderId="8" applyAlignment="1" applyProtection="1" pivotButton="0" quotePrefix="0" xfId="0">
      <alignment horizontal="center" vertical="center"/>
      <protection locked="0" hidden="0"/>
    </xf>
    <xf numFmtId="14" fontId="22" fillId="0" borderId="1" applyAlignment="1" applyProtection="1" pivotButton="0" quotePrefix="0" xfId="0">
      <alignment horizontal="center" vertical="center"/>
      <protection locked="0" hidden="0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top"/>
    </xf>
    <xf numFmtId="49" fontId="9" fillId="0" borderId="6" applyAlignment="1" applyProtection="1" pivotButton="0" quotePrefix="0" xfId="0">
      <alignment horizontal="center" vertical="center"/>
      <protection locked="0" hidden="0"/>
    </xf>
    <xf numFmtId="49" fontId="22" fillId="0" borderId="6" applyAlignment="1" applyProtection="1" pivotButton="0" quotePrefix="0" xfId="0">
      <alignment horizontal="center" vertical="center"/>
      <protection locked="0" hidden="0"/>
    </xf>
    <xf numFmtId="49" fontId="22" fillId="0" borderId="7" applyAlignment="1" applyProtection="1" pivotButton="0" quotePrefix="0" xfId="0">
      <alignment horizontal="center" vertical="center"/>
      <protection locked="0" hidden="0"/>
    </xf>
    <xf numFmtId="0" fontId="22" fillId="0" borderId="6" applyAlignment="1" applyProtection="1" pivotButton="0" quotePrefix="0" xfId="0">
      <alignment horizontal="center" vertical="center"/>
      <protection locked="0" hidden="0"/>
    </xf>
    <xf numFmtId="49" fontId="22" fillId="0" borderId="13" applyAlignment="1" applyProtection="1" pivotButton="0" quotePrefix="0" xfId="0">
      <alignment horizontal="center" vertical="center"/>
      <protection locked="0" hidden="0"/>
    </xf>
    <xf numFmtId="0" fontId="22" fillId="0" borderId="14" applyAlignment="1" applyProtection="1" pivotButton="0" quotePrefix="0" xfId="0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3" applyAlignment="1" applyProtection="1" pivotButton="0" quotePrefix="0" xfId="0">
      <alignment horizontal="center" vertical="center"/>
      <protection locked="0" hidden="0"/>
    </xf>
    <xf numFmtId="49" fontId="9" fillId="0" borderId="13" applyAlignment="1" applyProtection="1" pivotButton="0" quotePrefix="0" xfId="0">
      <alignment horizontal="center" vertical="center"/>
      <protection locked="0" hidden="0"/>
    </xf>
    <xf numFmtId="49" fontId="9" fillId="0" borderId="14" applyAlignment="1" applyProtection="1" pivotButton="0" quotePrefix="0" xfId="0">
      <alignment horizontal="center" vertical="center"/>
      <protection locked="0" hidden="0"/>
    </xf>
    <xf numFmtId="49" fontId="9" fillId="0" borderId="15" applyAlignment="1" applyProtection="1" pivotButton="0" quotePrefix="0" xfId="0">
      <alignment horizontal="center" vertical="center"/>
      <protection locked="0" hidden="0"/>
    </xf>
    <xf numFmtId="0" fontId="13" fillId="0" borderId="5" applyAlignment="1" pivotButton="0" quotePrefix="0" xfId="0">
      <alignment horizontal="left" vertical="center"/>
    </xf>
    <xf numFmtId="0" fontId="13" fillId="0" borderId="7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top"/>
    </xf>
    <xf numFmtId="0" fontId="13" fillId="0" borderId="7" applyAlignment="1" pivotButton="0" quotePrefix="0" xfId="0">
      <alignment horizontal="left" vertical="top"/>
    </xf>
    <xf numFmtId="1" fontId="30" fillId="0" borderId="5" applyAlignment="1" applyProtection="1" pivotButton="0" quotePrefix="0" xfId="0">
      <alignment horizontal="center" vertical="center"/>
      <protection locked="0" hidden="0"/>
    </xf>
    <xf numFmtId="1" fontId="30" fillId="0" borderId="6" applyAlignment="1" applyProtection="1" pivotButton="0" quotePrefix="0" xfId="0">
      <alignment horizontal="center" vertical="center"/>
      <protection locked="0" hidden="0"/>
    </xf>
    <xf numFmtId="1" fontId="30" fillId="0" borderId="2" applyAlignment="1" applyProtection="1" pivotButton="0" quotePrefix="0" xfId="0">
      <alignment horizontal="center" vertical="center"/>
      <protection locked="0" hidden="0"/>
    </xf>
    <xf numFmtId="1" fontId="30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49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2" applyAlignment="1" applyProtection="1" pivotButton="0" quotePrefix="0" xfId="0">
      <alignment horizontal="center" vertical="center"/>
      <protection locked="0" hidden="0"/>
    </xf>
    <xf numFmtId="49" fontId="30" fillId="0" borderId="5" applyAlignment="1" applyProtection="1" pivotButton="0" quotePrefix="0" xfId="0">
      <alignment horizontal="center" vertical="center"/>
      <protection locked="0" hidden="0"/>
    </xf>
    <xf numFmtId="49" fontId="30" fillId="0" borderId="6" applyAlignment="1" applyProtection="1" pivotButton="0" quotePrefix="0" xfId="0">
      <alignment horizontal="center" vertical="center"/>
      <protection locked="0" hidden="0"/>
    </xf>
    <xf numFmtId="49" fontId="30" fillId="0" borderId="2" applyAlignment="1" applyProtection="1" pivotButton="0" quotePrefix="0" xfId="0">
      <alignment horizontal="center" vertical="center"/>
      <protection locked="0" hidden="0"/>
    </xf>
    <xf numFmtId="49" fontId="30" fillId="0" borderId="1" applyAlignment="1" applyProtection="1" pivotButton="0" quotePrefix="0" xfId="0">
      <alignment horizontal="center" vertical="center"/>
      <protection locked="0" hidden="0"/>
    </xf>
    <xf numFmtId="0" fontId="6" fillId="0" borderId="16" applyAlignment="1" pivotButton="0" quotePrefix="0" xfId="0">
      <alignment horizontal="center" vertical="top"/>
    </xf>
    <xf numFmtId="0" fontId="22" fillId="0" borderId="5" applyAlignment="1" applyProtection="1" pivotButton="0" quotePrefix="0" xfId="0">
      <alignment horizontal="center" vertical="center"/>
      <protection locked="0" hidden="0"/>
    </xf>
    <xf numFmtId="49" fontId="9" fillId="0" borderId="2" applyAlignment="1" applyProtection="1" pivotButton="0" quotePrefix="0" xfId="0">
      <alignment horizontal="center" vertical="center"/>
      <protection locked="0" hidden="0"/>
    </xf>
    <xf numFmtId="49" fontId="9" fillId="0" borderId="1" applyAlignment="1" applyProtection="1" pivotButton="0" quotePrefix="0" xfId="0">
      <alignment horizontal="center" vertical="center"/>
      <protection locked="0" hidden="0"/>
    </xf>
    <xf numFmtId="1" fontId="22" fillId="0" borderId="5" applyAlignment="1" applyProtection="1" pivotButton="0" quotePrefix="0" xfId="0">
      <alignment horizontal="center" vertical="center"/>
      <protection locked="0" hidden="0"/>
    </xf>
    <xf numFmtId="1" fontId="22" fillId="0" borderId="6" applyAlignment="1" applyProtection="1" pivotButton="0" quotePrefix="0" xfId="0">
      <alignment horizontal="center" vertical="center"/>
      <protection locked="0" hidden="0"/>
    </xf>
    <xf numFmtId="1" fontId="22" fillId="0" borderId="2" applyAlignment="1" applyProtection="1" pivotButton="0" quotePrefix="0" xfId="0">
      <alignment horizontal="center" vertical="center"/>
      <protection locked="0" hidden="0"/>
    </xf>
    <xf numFmtId="1" fontId="22" fillId="0" borderId="1" applyAlignment="1" applyProtection="1" pivotButton="0" quotePrefix="0" xfId="0">
      <alignment horizontal="center" vertical="center"/>
      <protection locked="0" hidden="0"/>
    </xf>
    <xf numFmtId="164" fontId="22" fillId="0" borderId="5" applyAlignment="1" applyProtection="1" pivotButton="0" quotePrefix="0" xfId="0">
      <alignment horizontal="center" vertical="center"/>
      <protection locked="0" hidden="0"/>
    </xf>
    <xf numFmtId="164" fontId="22" fillId="0" borderId="6" applyAlignment="1" applyProtection="1" pivotButton="0" quotePrefix="0" xfId="0">
      <alignment horizontal="center" vertical="center"/>
      <protection locked="0" hidden="0"/>
    </xf>
    <xf numFmtId="164" fontId="22" fillId="0" borderId="2" applyAlignment="1" applyProtection="1" pivotButton="0" quotePrefix="0" xfId="0">
      <alignment horizontal="center" vertical="center"/>
      <protection locked="0" hidden="0"/>
    </xf>
    <xf numFmtId="164" fontId="22" fillId="0" borderId="1" applyAlignment="1" applyProtection="1" pivotButton="0" quotePrefix="0" xfId="0">
      <alignment horizontal="center" vertical="center"/>
      <protection locked="0" hidden="0"/>
    </xf>
    <xf numFmtId="49" fontId="9" fillId="0" borderId="1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165" fontId="22" fillId="0" borderId="12" applyAlignment="1" applyProtection="1" pivotButton="0" quotePrefix="0" xfId="0">
      <alignment horizontal="center" vertical="center"/>
      <protection locked="0" hidden="0"/>
    </xf>
    <xf numFmtId="49" fontId="22" fillId="0" borderId="12" applyAlignment="1" applyProtection="1" pivotButton="0" quotePrefix="0" xfId="0">
      <alignment horizontal="center" vertical="center"/>
      <protection locked="0" hidden="0"/>
    </xf>
    <xf numFmtId="0" fontId="22" fillId="0" borderId="12" applyAlignment="1" applyProtection="1" pivotButton="0" quotePrefix="0" xfId="0">
      <alignment horizontal="center" vertical="center"/>
      <protection locked="0" hidden="0"/>
    </xf>
    <xf numFmtId="49" fontId="22" fillId="0" borderId="2" applyAlignment="1" applyProtection="1" pivotButton="0" quotePrefix="0" xfId="0">
      <alignment horizontal="center" vertical="center"/>
      <protection locked="0" hidden="0"/>
    </xf>
    <xf numFmtId="49" fontId="23" fillId="0" borderId="0" applyAlignment="1" applyProtection="1" pivotButton="0" quotePrefix="0" xfId="0">
      <alignment horizontal="center" vertical="center"/>
      <protection locked="0" hidden="1"/>
    </xf>
    <xf numFmtId="0" fontId="23" fillId="0" borderId="0" applyAlignment="1" applyProtection="1" pivotButton="0" quotePrefix="0" xfId="0">
      <alignment horizontal="center" vertical="center"/>
      <protection locked="0" hidden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applyProtection="1" pivotButton="0" quotePrefix="0" xfId="0">
      <alignment horizontal="left" vertical="center"/>
      <protection locked="0" hidden="0"/>
    </xf>
    <xf numFmtId="49" fontId="9" fillId="0" borderId="0" applyAlignment="1" applyProtection="1" pivotButton="0" quotePrefix="0" xfId="0">
      <alignment horizontal="left" vertical="center"/>
      <protection locked="0" hidden="0"/>
    </xf>
    <xf numFmtId="0" fontId="22" fillId="0" borderId="0" applyAlignment="1" applyProtection="1" pivotButton="0" quotePrefix="0" xfId="0">
      <alignment horizontal="left" vertical="center"/>
      <protection locked="0" hidden="0"/>
    </xf>
    <xf numFmtId="14" fontId="16" fillId="7" borderId="9" applyAlignment="1" applyProtection="1" pivotButton="0" quotePrefix="0" xfId="1">
      <alignment horizontal="center" vertical="center"/>
      <protection locked="0" hidden="0"/>
    </xf>
    <xf numFmtId="0" fontId="1" fillId="7" borderId="10" applyAlignment="1" pivotButton="0" quotePrefix="0" xfId="1">
      <alignment horizontal="center" vertical="center"/>
    </xf>
    <xf numFmtId="0" fontId="12" fillId="0" borderId="5" applyAlignment="1" pivotButton="0" quotePrefix="0" xfId="1">
      <alignment horizontal="center" vertical="center"/>
    </xf>
    <xf numFmtId="0" fontId="12" fillId="0" borderId="7" applyAlignment="1" pivotButton="0" quotePrefix="0" xfId="1">
      <alignment horizontal="center" vertical="center"/>
    </xf>
    <xf numFmtId="0" fontId="12" fillId="0" borderId="6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8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/>
    </xf>
    <xf numFmtId="166" fontId="12" fillId="0" borderId="9" applyAlignment="1" pivotButton="0" quotePrefix="0" xfId="1">
      <alignment horizontal="center" vertical="center"/>
    </xf>
    <xf numFmtId="166" fontId="12" fillId="0" borderId="10" applyAlignment="1" pivotButton="0" quotePrefix="0" xfId="1">
      <alignment horizontal="center" vertical="center"/>
    </xf>
    <xf numFmtId="10" fontId="21" fillId="0" borderId="6" applyAlignment="1" pivotButton="0" quotePrefix="0" xfId="1">
      <alignment horizontal="center" vertical="center"/>
    </xf>
    <xf numFmtId="10" fontId="21" fillId="0" borderId="1" applyAlignment="1" pivotButton="0" quotePrefix="0" xfId="1">
      <alignment horizontal="center" vertical="center"/>
    </xf>
    <xf numFmtId="49" fontId="16" fillId="7" borderId="5" applyAlignment="1" pivotButton="0" quotePrefix="0" xfId="1">
      <alignment horizontal="center" vertical="center"/>
    </xf>
    <xf numFmtId="49" fontId="16" fillId="7" borderId="2" applyAlignment="1" pivotButton="0" quotePrefix="0" xfId="1">
      <alignment horizontal="center" vertical="center"/>
    </xf>
    <xf numFmtId="0" fontId="16" fillId="7" borderId="5" applyAlignment="1" pivotButton="0" quotePrefix="0" xfId="1">
      <alignment horizontal="center" vertical="center"/>
    </xf>
    <xf numFmtId="0" fontId="16" fillId="7" borderId="7" applyAlignment="1" pivotButton="0" quotePrefix="0" xfId="1">
      <alignment horizontal="center" vertical="center"/>
    </xf>
    <xf numFmtId="0" fontId="16" fillId="7" borderId="6" applyAlignment="1" pivotButton="0" quotePrefix="0" xfId="1">
      <alignment horizontal="center" vertical="center"/>
    </xf>
    <xf numFmtId="0" fontId="16" fillId="7" borderId="2" applyAlignment="1" pivotButton="0" quotePrefix="0" xfId="1">
      <alignment horizontal="center" vertical="center"/>
    </xf>
    <xf numFmtId="0" fontId="16" fillId="7" borderId="8" applyAlignment="1" pivotButton="0" quotePrefix="0" xfId="1">
      <alignment horizontal="center" vertical="center"/>
    </xf>
    <xf numFmtId="0" fontId="16" fillId="7" borderId="1" applyAlignment="1" pivotButton="0" quotePrefix="0" xfId="1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0" borderId="10" applyAlignment="1" pivotButton="0" quotePrefix="0" xfId="0">
      <alignment horizontal="center" vertical="center"/>
    </xf>
    <xf numFmtId="10" fontId="12" fillId="0" borderId="6" applyAlignment="1" pivotButton="0" quotePrefix="0" xfId="1">
      <alignment horizontal="center" vertical="center"/>
    </xf>
    <xf numFmtId="10" fontId="12" fillId="0" borderId="1" applyAlignment="1" pivotButton="0" quotePrefix="0" xfId="1">
      <alignment horizontal="center" vertical="center"/>
    </xf>
    <xf numFmtId="2" fontId="16" fillId="7" borderId="9" applyAlignment="1" applyProtection="1" pivotButton="0" quotePrefix="0" xfId="1">
      <alignment horizontal="left" vertical="center" wrapText="1"/>
      <protection locked="0" hidden="0"/>
    </xf>
    <xf numFmtId="2" fontId="16" fillId="7" borderId="11" applyAlignment="1" applyProtection="1" pivotButton="0" quotePrefix="0" xfId="1">
      <alignment horizontal="left" vertical="center" wrapText="1"/>
      <protection locked="0" hidden="0"/>
    </xf>
    <xf numFmtId="2" fontId="16" fillId="7" borderId="10" applyAlignment="1" applyProtection="1" pivotButton="0" quotePrefix="0" xfId="1">
      <alignment horizontal="left" vertical="center" wrapText="1"/>
      <protection locked="0" hidden="0"/>
    </xf>
    <xf numFmtId="0" fontId="16" fillId="0" borderId="5" applyAlignment="1" pivotButton="0" quotePrefix="0" xfId="1">
      <alignment horizontal="center" vertical="center" wrapText="1"/>
    </xf>
    <xf numFmtId="0" fontId="16" fillId="0" borderId="7" applyAlignment="1" pivotButton="0" quotePrefix="0" xfId="1">
      <alignment horizontal="center" vertical="center" wrapText="1"/>
    </xf>
    <xf numFmtId="0" fontId="16" fillId="0" borderId="6" applyAlignment="1" pivotButton="0" quotePrefix="0" xfId="1">
      <alignment horizontal="center" vertical="center" wrapText="1"/>
    </xf>
    <xf numFmtId="0" fontId="16" fillId="0" borderId="3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 wrapText="1"/>
    </xf>
    <xf numFmtId="0" fontId="16" fillId="0" borderId="4" applyAlignment="1" pivotButton="0" quotePrefix="0" xfId="1">
      <alignment horizontal="center" vertical="center" wrapText="1"/>
    </xf>
    <xf numFmtId="0" fontId="16" fillId="0" borderId="2" applyAlignment="1" pivotButton="0" quotePrefix="0" xfId="1">
      <alignment horizontal="center" vertical="center" wrapText="1"/>
    </xf>
    <xf numFmtId="0" fontId="16" fillId="0" borderId="8" applyAlignment="1" pivotButton="0" quotePrefix="0" xfId="1">
      <alignment horizontal="center" vertical="center" wrapText="1"/>
    </xf>
    <xf numFmtId="0" fontId="16" fillId="0" borderId="1" applyAlignment="1" pivotButton="0" quotePrefix="0" xfId="1">
      <alignment horizontal="center" vertical="center" wrapText="1"/>
    </xf>
    <xf numFmtId="0" fontId="12" fillId="0" borderId="7" applyAlignment="1" pivotButton="0" quotePrefix="0" xfId="1">
      <alignment horizontal="left"/>
    </xf>
    <xf numFmtId="0" fontId="12" fillId="0" borderId="6" applyAlignment="1" pivotButton="0" quotePrefix="0" xfId="1">
      <alignment horizontal="left"/>
    </xf>
    <xf numFmtId="49" fontId="16" fillId="5" borderId="9" applyAlignment="1" applyProtection="1" pivotButton="0" quotePrefix="0" xfId="1">
      <alignment horizontal="center" vertical="center"/>
      <protection locked="0" hidden="0"/>
    </xf>
    <xf numFmtId="49" fontId="16" fillId="5" borderId="10" applyAlignment="1" applyProtection="1" pivotButton="0" quotePrefix="0" xfId="1">
      <alignment horizontal="center" vertical="center"/>
      <protection locked="0" hidden="0"/>
    </xf>
    <xf numFmtId="49" fontId="16" fillId="6" borderId="9" applyAlignment="1" applyProtection="1" pivotButton="0" quotePrefix="0" xfId="1">
      <alignment horizontal="center" vertical="center"/>
      <protection locked="0" hidden="0"/>
    </xf>
    <xf numFmtId="49" fontId="16" fillId="6" borderId="10" applyAlignment="1" applyProtection="1" pivotButton="0" quotePrefix="0" xfId="1">
      <alignment horizontal="center" vertical="center"/>
      <protection locked="0" hidden="0"/>
    </xf>
    <xf numFmtId="0" fontId="15" fillId="0" borderId="8" applyAlignment="1" pivotButton="0" quotePrefix="0" xfId="1">
      <alignment horizontal="left"/>
    </xf>
    <xf numFmtId="0" fontId="15" fillId="0" borderId="1" applyAlignment="1" pivotButton="0" quotePrefix="0" xfId="1">
      <alignment horizontal="left"/>
    </xf>
    <xf numFmtId="0" fontId="15" fillId="7" borderId="5" applyAlignment="1" pivotButton="0" quotePrefix="0" xfId="1">
      <alignment horizontal="center"/>
    </xf>
    <xf numFmtId="0" fontId="15" fillId="7" borderId="7" applyAlignment="1" pivotButton="0" quotePrefix="0" xfId="1">
      <alignment horizontal="center"/>
    </xf>
    <xf numFmtId="0" fontId="15" fillId="7" borderId="6" applyAlignment="1" pivotButton="0" quotePrefix="0" xfId="1">
      <alignment horizontal="center"/>
    </xf>
    <xf numFmtId="0" fontId="12" fillId="4" borderId="5" applyAlignment="1" pivotButton="0" quotePrefix="0" xfId="1">
      <alignment horizontal="left" vertical="center" wrapText="1"/>
    </xf>
    <xf numFmtId="0" fontId="15" fillId="4" borderId="3" applyAlignment="1" pivotButton="0" quotePrefix="0" xfId="1">
      <alignment horizontal="left" vertical="center" wrapText="1"/>
    </xf>
    <xf numFmtId="0" fontId="15" fillId="4" borderId="11" applyAlignment="1" pivotButton="0" quotePrefix="0" xfId="1">
      <alignment horizontal="left" vertical="center" wrapText="1"/>
    </xf>
    <xf numFmtId="0" fontId="15" fillId="4" borderId="10" applyAlignment="1" pivotButton="0" quotePrefix="0" xfId="1">
      <alignment horizontal="left" vertical="center" wrapText="1"/>
    </xf>
    <xf numFmtId="0" fontId="12" fillId="7" borderId="5" applyAlignment="1" pivotButton="0" quotePrefix="0" xfId="1">
      <alignment horizontal="center" vertical="center"/>
    </xf>
    <xf numFmtId="0" fontId="12" fillId="7" borderId="6" applyAlignment="1" pivotButton="0" quotePrefix="0" xfId="1">
      <alignment horizontal="center" vertical="center"/>
    </xf>
    <xf numFmtId="0" fontId="12" fillId="7" borderId="2" applyAlignment="1" pivotButton="0" quotePrefix="0" xfId="1">
      <alignment horizontal="center" vertical="center"/>
    </xf>
    <xf numFmtId="0" fontId="12" fillId="7" borderId="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49" fontId="12" fillId="0" borderId="9" applyAlignment="1" applyProtection="1" pivotButton="0" quotePrefix="0" xfId="1">
      <alignment horizontal="center" vertical="center"/>
      <protection locked="0" hidden="0"/>
    </xf>
    <xf numFmtId="49" fontId="12" fillId="0" borderId="10" applyAlignment="1" applyProtection="1" pivotButton="0" quotePrefix="0" xfId="1">
      <alignment horizontal="center" vertical="center"/>
      <protection locked="0" hidden="0"/>
    </xf>
    <xf numFmtId="165" fontId="16" fillId="5" borderId="9" applyAlignment="1" applyProtection="1" pivotButton="0" quotePrefix="0" xfId="1">
      <alignment horizontal="center" vertical="center"/>
      <protection locked="0" hidden="0"/>
    </xf>
    <xf numFmtId="165" fontId="16" fillId="5" borderId="10" applyAlignment="1" applyProtection="1" pivotButton="0" quotePrefix="0" xfId="1">
      <alignment horizontal="center" vertical="center"/>
      <protection locked="0" hidden="0"/>
    </xf>
    <xf numFmtId="165" fontId="16" fillId="6" borderId="9" applyAlignment="1" applyProtection="1" pivotButton="0" quotePrefix="0" xfId="1">
      <alignment horizontal="center" vertical="center"/>
      <protection locked="0" hidden="0"/>
    </xf>
    <xf numFmtId="165" fontId="16" fillId="6" borderId="10" applyAlignment="1" applyProtection="1" pivotButton="0" quotePrefix="0" xfId="1">
      <alignment horizontal="center" vertical="center"/>
      <protection locked="0" hidden="0"/>
    </xf>
    <xf numFmtId="0" fontId="12" fillId="0" borderId="5" applyAlignment="1" pivotButton="0" quotePrefix="0" xfId="1">
      <alignment horizontal="left"/>
    </xf>
    <xf numFmtId="0" fontId="15" fillId="0" borderId="2" applyAlignment="1" pivotButton="0" quotePrefix="0" xfId="1">
      <alignment horizontal="left"/>
    </xf>
    <xf numFmtId="49" fontId="17" fillId="8" borderId="9" applyAlignment="1" applyProtection="1" pivotButton="0" quotePrefix="0" xfId="1">
      <alignment horizontal="center" vertical="center"/>
      <protection locked="0" hidden="0"/>
    </xf>
    <xf numFmtId="49" fontId="18" fillId="8" borderId="10" applyAlignment="1" pivotButton="0" quotePrefix="0" xfId="1">
      <alignment horizontal="center" vertical="center"/>
    </xf>
    <xf numFmtId="0" fontId="17" fillId="8" borderId="5" applyAlignment="1" applyProtection="1" pivotButton="0" quotePrefix="0" xfId="1">
      <alignment horizontal="center" vertical="center"/>
      <protection locked="0" hidden="0"/>
    </xf>
    <xf numFmtId="0" fontId="18" fillId="8" borderId="6" applyAlignment="1" pivotButton="0" quotePrefix="0" xfId="1">
      <alignment horizontal="center" vertical="center"/>
    </xf>
    <xf numFmtId="0" fontId="18" fillId="8" borderId="2" applyAlignment="1" pivotButton="0" quotePrefix="0" xfId="1">
      <alignment horizontal="center" vertical="center"/>
    </xf>
    <xf numFmtId="0" fontId="18" fillId="8" borderId="1" applyAlignment="1" pivotButton="0" quotePrefix="0" xfId="1">
      <alignment horizontal="center" vertical="center"/>
    </xf>
    <xf numFmtId="0" fontId="12" fillId="0" borderId="3" applyAlignment="1" pivotButton="0" quotePrefix="0" xfId="1">
      <alignment horizontal="left"/>
    </xf>
    <xf numFmtId="0" fontId="12" fillId="0" borderId="4" applyAlignment="1" pivotButton="0" quotePrefix="0" xfId="1">
      <alignment horizontal="left"/>
    </xf>
    <xf numFmtId="49" fontId="16" fillId="5" borderId="11" applyAlignment="1" applyProtection="1" pivotButton="0" quotePrefix="0" xfId="1">
      <alignment horizontal="center" vertical="center"/>
      <protection locked="0" hidden="0"/>
    </xf>
    <xf numFmtId="0" fontId="16" fillId="6" borderId="11" applyAlignment="1" applyProtection="1" pivotButton="0" quotePrefix="0" xfId="1">
      <alignment horizontal="center" vertical="center"/>
      <protection locked="0" hidden="0"/>
    </xf>
    <xf numFmtId="0" fontId="16" fillId="6" borderId="10" applyAlignment="1" applyProtection="1" pivotButton="0" quotePrefix="0" xfId="1">
      <alignment horizontal="center" vertical="center"/>
      <protection locked="0" hidden="0"/>
    </xf>
    <xf numFmtId="0" fontId="17" fillId="8" borderId="6" applyAlignment="1" applyProtection="1" pivotButton="0" quotePrefix="0" xfId="1">
      <alignment horizontal="center" vertical="center"/>
      <protection locked="0" hidden="0"/>
    </xf>
    <xf numFmtId="0" fontId="17" fillId="8" borderId="2" applyAlignment="1" applyProtection="1" pivotButton="0" quotePrefix="0" xfId="1">
      <alignment horizontal="center" vertical="center"/>
      <protection locked="0" hidden="0"/>
    </xf>
    <xf numFmtId="0" fontId="17" fillId="8" borderId="1" applyAlignment="1" applyProtection="1" pivotButton="0" quotePrefix="0" xfId="1">
      <alignment horizontal="center" vertical="center"/>
      <protection locked="0" hidden="0"/>
    </xf>
    <xf numFmtId="0" fontId="17" fillId="8" borderId="9" applyAlignment="1" applyProtection="1" pivotButton="0" quotePrefix="0" xfId="1">
      <alignment horizontal="center" vertical="center"/>
      <protection locked="0" hidden="0"/>
    </xf>
    <xf numFmtId="0" fontId="17" fillId="8" borderId="10" applyAlignment="1" applyProtection="1" pivotButton="0" quotePrefix="0" xfId="1">
      <alignment horizontal="center" vertical="center"/>
      <protection locked="0" hidden="0"/>
    </xf>
    <xf numFmtId="0" fontId="5" fillId="0" borderId="0" applyAlignment="1" pivotButton="0" quotePrefix="0" xfId="1">
      <alignment horizontal="center"/>
    </xf>
    <xf numFmtId="0" fontId="16" fillId="7" borderId="12" applyAlignment="1" pivotButton="0" quotePrefix="0" xfId="1">
      <alignment horizontal="center" vertical="center" wrapText="1"/>
    </xf>
    <xf numFmtId="0" fontId="1" fillId="7" borderId="12" applyAlignment="1" pivotButton="0" quotePrefix="0" xfId="1">
      <alignment horizontal="center" vertical="center"/>
    </xf>
    <xf numFmtId="0" fontId="15" fillId="7" borderId="12" applyAlignment="1" pivotButton="0" quotePrefix="0" xfId="1">
      <alignment horizontal="center" vertical="center" wrapText="1"/>
    </xf>
    <xf numFmtId="0" fontId="1" fillId="7" borderId="12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center"/>
    </xf>
    <xf numFmtId="0" fontId="16" fillId="7" borderId="9" applyAlignment="1" pivotButton="0" quotePrefix="0" xfId="1">
      <alignment horizontal="center" vertical="center" wrapText="1"/>
    </xf>
    <xf numFmtId="0" fontId="9" fillId="7" borderId="10" applyAlignment="1" pivotButton="0" quotePrefix="0" xfId="1">
      <alignment horizontal="center" vertical="center" wrapText="1"/>
    </xf>
    <xf numFmtId="49" fontId="16" fillId="7" borderId="9" applyAlignment="1" pivotButton="0" quotePrefix="0" xfId="1">
      <alignment horizontal="center" vertical="center" wrapText="1"/>
    </xf>
    <xf numFmtId="0" fontId="1" fillId="7" borderId="9" applyAlignment="1" pivotButton="0" quotePrefix="0" xfId="1">
      <alignment horizontal="center" vertical="center" wrapText="1"/>
    </xf>
    <xf numFmtId="0" fontId="1" fillId="7" borderId="10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1"/>
    </xf>
    <xf numFmtId="0" fontId="22" fillId="0" borderId="10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" fontId="22" fillId="0" borderId="10" applyAlignment="1" applyProtection="1" pivotButton="0" quotePrefix="0" xfId="0">
      <alignment horizontal="center" vertical="center"/>
      <protection locked="0" hidden="0"/>
    </xf>
    <xf numFmtId="49" fontId="22" fillId="0" borderId="10" applyAlignment="1" applyProtection="1" pivotButton="0" quotePrefix="0" xfId="0">
      <alignment horizontal="center" vertical="center"/>
      <protection locked="0" hidden="0"/>
    </xf>
    <xf numFmtId="0" fontId="9" fillId="0" borderId="10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5" fontId="22" fillId="0" borderId="12" applyAlignment="1" applyProtection="1" pivotButton="0" quotePrefix="0" xfId="0">
      <alignment horizontal="center" vertical="center"/>
      <protection locked="0" hidden="0"/>
    </xf>
    <xf numFmtId="0" fontId="0" fillId="0" borderId="7" pivotButton="0" quotePrefix="0" xfId="0"/>
    <xf numFmtId="0" fontId="0" fillId="0" borderId="6" applyProtection="1" pivotButton="0" quotePrefix="0" xfId="0">
      <protection locked="0" hidden="0"/>
    </xf>
    <xf numFmtId="1" fontId="22" fillId="0" borderId="12" applyAlignment="1" applyProtection="1" pivotButton="0" quotePrefix="0" xfId="0">
      <alignment horizontal="center" vertical="center"/>
      <protection locked="0" hidden="0"/>
    </xf>
    <xf numFmtId="164" fontId="22" fillId="0" borderId="12" applyAlignment="1" applyProtection="1" pivotButton="0" quotePrefix="0" xfId="0">
      <alignment horizontal="center" vertical="center"/>
      <protection locked="0" hidden="0"/>
    </xf>
    <xf numFmtId="0" fontId="0" fillId="0" borderId="8" pivotButton="0" quotePrefix="0" xfId="0"/>
    <xf numFmtId="0" fontId="0" fillId="0" borderId="2" applyProtection="1" pivotButton="0" quotePrefix="0" xfId="0">
      <protection locked="0" hidden="0"/>
    </xf>
    <xf numFmtId="49" fontId="30" fillId="0" borderId="12" applyAlignment="1" applyProtection="1" pivotButton="0" quotePrefix="0" xfId="0">
      <alignment horizontal="center" vertical="center"/>
      <protection locked="0" hidden="0"/>
    </xf>
    <xf numFmtId="1" fontId="30" fillId="0" borderId="12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49" fontId="22" fillId="0" borderId="15" applyAlignment="1" applyProtection="1" pivotButton="0" quotePrefix="0" xfId="0">
      <alignment horizontal="center" vertical="center"/>
      <protection locked="0" hidden="0"/>
    </xf>
    <xf numFmtId="14" fontId="22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0" applyProtection="1" pivotButton="0" quotePrefix="0" xfId="0">
      <protection locked="0" hidden="0"/>
    </xf>
    <xf numFmtId="0" fontId="0" fillId="0" borderId="6" pivotButton="0" quotePrefix="0" xfId="0"/>
    <xf numFmtId="0" fontId="0" fillId="0" borderId="10" pivotButton="0" quotePrefix="0" xfId="0"/>
    <xf numFmtId="49" fontId="16" fillId="7" borderId="12" applyAlignment="1" pivotButton="0" quotePrefix="0" xfId="1">
      <alignment horizontal="center" vertical="center" wrapText="1"/>
    </xf>
    <xf numFmtId="49" fontId="17" fillId="8" borderId="12" applyAlignment="1" applyProtection="1" pivotButton="0" quotePrefix="0" xfId="1">
      <alignment horizontal="center" vertical="center"/>
      <protection locked="0" hidden="0"/>
    </xf>
    <xf numFmtId="0" fontId="17" fillId="8" borderId="12" applyAlignment="1" applyProtection="1" pivotButton="0" quotePrefix="0" xfId="1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12" fillId="0" borderId="11" applyAlignment="1" pivotButton="0" quotePrefix="0" xfId="1">
      <alignment horizontal="left"/>
    </xf>
    <xf numFmtId="0" fontId="15" fillId="0" borderId="10" applyAlignment="1" pivotButton="0" quotePrefix="0" xfId="1">
      <alignment horizontal="left"/>
    </xf>
    <xf numFmtId="0" fontId="12" fillId="0" borderId="9" applyAlignment="1" pivotButton="0" quotePrefix="0" xfId="1">
      <alignment horizontal="left"/>
    </xf>
    <xf numFmtId="49" fontId="16" fillId="5" borderId="12" applyAlignment="1" applyProtection="1" pivotButton="0" quotePrefix="0" xfId="1">
      <alignment horizontal="center" vertical="center"/>
      <protection locked="0" hidden="0"/>
    </xf>
    <xf numFmtId="49" fontId="16" fillId="6" borderId="12" applyAlignment="1" applyProtection="1" pivotButton="0" quotePrefix="0" xfId="1">
      <alignment horizontal="center" vertical="center"/>
      <protection locked="0" hidden="0"/>
    </xf>
    <xf numFmtId="165" fontId="16" fillId="5" borderId="12" applyAlignment="1" applyProtection="1" pivotButton="0" quotePrefix="0" xfId="1">
      <alignment horizontal="center" vertical="center"/>
      <protection locked="0" hidden="0"/>
    </xf>
    <xf numFmtId="165" fontId="16" fillId="6" borderId="12" applyAlignment="1" applyProtection="1" pivotButton="0" quotePrefix="0" xfId="1">
      <alignment horizontal="center" vertical="center"/>
      <protection locked="0" hidden="0"/>
    </xf>
    <xf numFmtId="0" fontId="15" fillId="7" borderId="9" applyAlignment="1" pivotButton="0" quotePrefix="0" xfId="1">
      <alignment horizontal="center"/>
    </xf>
    <xf numFmtId="0" fontId="12" fillId="4" borderId="12" applyAlignment="1" pivotButton="0" quotePrefix="0" xfId="1">
      <alignment horizontal="left" vertical="center" wrapText="1"/>
    </xf>
    <xf numFmtId="0" fontId="12" fillId="7" borderId="12" applyAlignment="1" pivotButton="0" quotePrefix="0" xfId="1">
      <alignment horizontal="center" vertical="center"/>
    </xf>
    <xf numFmtId="0" fontId="12" fillId="0" borderId="12" applyAlignment="1" pivotButton="0" quotePrefix="0" xfId="1">
      <alignment horizontal="center" vertical="center"/>
    </xf>
    <xf numFmtId="49" fontId="12" fillId="0" borderId="12" applyAlignment="1" applyProtection="1" pivotButton="0" quotePrefix="0" xfId="1">
      <alignment horizontal="center" vertical="center"/>
      <protection locked="0" hidden="0"/>
    </xf>
    <xf numFmtId="0" fontId="0" fillId="0" borderId="11" pivotButton="0" quotePrefix="0" xfId="0"/>
    <xf numFmtId="166" fontId="12" fillId="0" borderId="12" applyAlignment="1" pivotButton="0" quotePrefix="0" xfId="0">
      <alignment horizontal="center" vertical="center"/>
    </xf>
    <xf numFmtId="10" fontId="12" fillId="0" borderId="15" applyAlignment="1" pivotButton="0" quotePrefix="0" xfId="1">
      <alignment horizontal="center" vertical="center"/>
    </xf>
    <xf numFmtId="2" fontId="16" fillId="7" borderId="12" applyAlignment="1" applyProtection="1" pivotButton="0" quotePrefix="0" xfId="1">
      <alignment horizontal="left" vertical="center" wrapText="1"/>
      <protection locked="0" hidden="0"/>
    </xf>
    <xf numFmtId="0" fontId="16" fillId="0" borderId="12" applyAlignment="1" pivotButton="0" quotePrefix="0" xfId="1">
      <alignment horizontal="center" vertical="center" wrapText="1"/>
    </xf>
    <xf numFmtId="0" fontId="0" fillId="0" borderId="11" applyProtection="1" pivotButton="0" quotePrefix="0" xfId="0">
      <protection locked="0" hidden="0"/>
    </xf>
    <xf numFmtId="166" fontId="12" fillId="0" borderId="12" applyAlignment="1" pivotButton="0" quotePrefix="0" xfId="1">
      <alignment horizontal="center" vertical="center"/>
    </xf>
    <xf numFmtId="10" fontId="21" fillId="0" borderId="15" applyAlignment="1" pivotButton="0" quotePrefix="0" xfId="1">
      <alignment horizontal="center" vertical="center"/>
    </xf>
    <xf numFmtId="49" fontId="16" fillId="7" borderId="13" applyAlignment="1" pivotButton="0" quotePrefix="0" xfId="1">
      <alignment horizontal="center" vertical="center"/>
    </xf>
    <xf numFmtId="0" fontId="16" fillId="7" borderId="12" applyAlignment="1" pivotButton="0" quotePrefix="0" xfId="1">
      <alignment horizontal="center" vertical="center"/>
    </xf>
    <xf numFmtId="14" fontId="16" fillId="7" borderId="12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5</col>
      <colOff>181213</colOff>
      <row>3</row>
      <rowOff>2708</rowOff>
    </to>
    <pic>
      <nvPicPr>
        <cNvPr id="2" name="Imagem 1" descr="Nova imagem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743438" cy="4694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0</colOff>
      <row>58</row>
      <rowOff>0</rowOff>
    </from>
    <to>
      <col>11</col>
      <colOff>668304</colOff>
      <row>68</row>
      <rowOff>68580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785360" y="9319260"/>
          <a:ext cx="3274344" cy="159258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2</row>
      <rowOff>0</rowOff>
    </from>
    <to>
      <col>2</col>
      <colOff>1857375</colOff>
      <row>4</row>
      <rowOff>152400</rowOff>
    </to>
    <pic>
      <nvPicPr>
        <cNvPr id="2164" name="Picture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438150" y="590550"/>
          <a:ext cx="4572000" cy="7429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M77"/>
  <sheetViews>
    <sheetView topLeftCell="B31" workbookViewId="0">
      <selection activeCell="J44" sqref="J44"/>
    </sheetView>
  </sheetViews>
  <sheetFormatPr baseColWidth="8" defaultRowHeight="13.2"/>
  <cols>
    <col width="6.6640625" customWidth="1" min="3" max="6"/>
    <col width="12.6640625" customWidth="1" min="7" max="11"/>
    <col width="14.109375" customWidth="1" min="12" max="12"/>
    <col width="3.33203125" customWidth="1" min="13" max="13"/>
  </cols>
  <sheetData>
    <row r="1" ht="18.75" customHeight="1"/>
    <row r="2" hidden="1"/>
    <row r="3" ht="17.4" customHeight="1">
      <c r="A3" s="13" t="n"/>
      <c r="B3" s="7" t="n"/>
      <c r="C3" s="7" t="n"/>
      <c r="D3" s="7" t="n"/>
      <c r="E3" s="7" t="n"/>
      <c r="F3" s="7" t="n"/>
      <c r="G3" s="7" t="n"/>
      <c r="H3" s="207" t="n"/>
      <c r="I3" s="216" t="inlineStr">
        <is>
          <t xml:space="preserve">           Certificate No.:</t>
        </is>
      </c>
      <c r="K3" s="212">
        <f>QUADRO!I5</f>
        <v/>
      </c>
      <c r="L3" s="314" t="n"/>
      <c r="M3" s="207" t="n"/>
    </row>
    <row r="4">
      <c r="A4" s="14" t="n"/>
      <c r="B4" s="7" t="n"/>
      <c r="C4" s="7" t="n"/>
      <c r="D4" s="7" t="n"/>
      <c r="E4" s="7" t="n"/>
      <c r="F4" s="7" t="n"/>
      <c r="G4" s="7" t="n"/>
      <c r="H4" s="207" t="inlineStr">
        <is>
          <t> </t>
        </is>
      </c>
      <c r="I4" s="207" t="inlineStr">
        <is>
          <t xml:space="preserve">                Certificado No.:</t>
        </is>
      </c>
      <c r="K4" s="144" t="n"/>
      <c r="L4" s="144" t="n"/>
      <c r="M4" s="207" t="n"/>
    </row>
    <row r="5" ht="17.25" customHeight="1">
      <c r="A5" s="14" t="n"/>
      <c r="B5" s="7" t="n"/>
      <c r="C5" s="7" t="n"/>
      <c r="D5" s="7" t="n"/>
      <c r="E5" s="7" t="n"/>
      <c r="F5" s="7" t="n"/>
      <c r="G5" s="7" t="n"/>
      <c r="H5" s="207" t="n"/>
      <c r="I5" s="163" t="n"/>
      <c r="J5" s="144" t="n"/>
      <c r="K5" s="144" t="n"/>
      <c r="L5" s="144" t="n"/>
      <c r="M5" s="207" t="n"/>
    </row>
    <row r="6" ht="21" customHeight="1">
      <c r="A6" s="214" t="inlineStr">
        <is>
          <t xml:space="preserve">CERTIFICATE OF RE-INSPECTION </t>
        </is>
      </c>
      <c r="M6" s="214" t="n"/>
    </row>
    <row r="7">
      <c r="A7" s="207" t="inlineStr">
        <is>
          <t>This is to certify that the raft detailed below has been surveyed, controlled and tested in compliance with requirements from:</t>
        </is>
      </c>
      <c r="M7" s="144" t="n"/>
    </row>
    <row r="8" ht="15" customHeight="1">
      <c r="A8" s="15" t="n"/>
      <c r="B8" s="215" t="inlineStr">
        <is>
          <t>IPTM   and the manufacturer and in acoordance with IMO Resolution:  A.761(18)</t>
        </is>
      </c>
      <c r="L8" s="15" t="n"/>
      <c r="M8" s="216" t="n"/>
    </row>
    <row r="9" ht="1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12.9" customFormat="1" customHeight="1" s="24">
      <c r="A10" s="25" t="inlineStr">
        <is>
          <t>Identification:</t>
        </is>
      </c>
      <c r="B10" s="25" t="n"/>
      <c r="C10" s="180" t="inlineStr">
        <is>
          <t>Type:</t>
        </is>
      </c>
      <c r="D10" s="181" t="n"/>
      <c r="E10" s="181" t="n"/>
      <c r="F10" s="181" t="n"/>
      <c r="G10" s="180" t="inlineStr">
        <is>
          <t>Capacity:</t>
        </is>
      </c>
      <c r="H10" s="36" t="n"/>
      <c r="I10" s="180" t="inlineStr">
        <is>
          <t>Serial No.</t>
        </is>
      </c>
      <c r="J10" s="36" t="n"/>
      <c r="K10" s="180" t="inlineStr">
        <is>
          <t>Date of Manuf.:</t>
        </is>
      </c>
      <c r="L10" s="36" t="n"/>
      <c r="M10" s="25" t="n"/>
    </row>
    <row r="11" ht="9.9" customFormat="1" customHeight="1" s="46">
      <c r="A11" s="163" t="inlineStr">
        <is>
          <t>Identificação:</t>
        </is>
      </c>
      <c r="B11" s="163" t="n"/>
      <c r="C11" s="47" t="inlineStr">
        <is>
          <t>Tipo:</t>
        </is>
      </c>
      <c r="D11" s="163" t="n"/>
      <c r="E11" s="163" t="n"/>
      <c r="F11" s="163" t="n"/>
      <c r="G11" s="47" t="inlineStr">
        <is>
          <t>Capacidade:</t>
        </is>
      </c>
      <c r="H11" s="48" t="n"/>
      <c r="I11" s="47" t="inlineStr">
        <is>
          <t>No. Série:</t>
        </is>
      </c>
      <c r="J11" s="48" t="n"/>
      <c r="K11" s="47" t="inlineStr">
        <is>
          <t>Data de Fabr.:</t>
        </is>
      </c>
      <c r="L11" s="48" t="n"/>
      <c r="M11" s="163" t="n"/>
    </row>
    <row r="12" ht="15" customHeight="1">
      <c r="A12" s="3" t="n"/>
      <c r="B12" s="3" t="n"/>
      <c r="C12" s="315">
        <f>QUADRO!H7</f>
        <v/>
      </c>
      <c r="D12" s="316" t="n"/>
      <c r="E12" s="316" t="n"/>
      <c r="F12" s="317" t="n"/>
      <c r="G12" s="315">
        <f>QUADRO!J7</f>
        <v/>
      </c>
      <c r="H12" s="317" t="n"/>
      <c r="I12" s="318">
        <f>QUADRO!C7</f>
        <v/>
      </c>
      <c r="J12" s="317" t="n"/>
      <c r="K12" s="319">
        <f>QUADRO!G79</f>
        <v/>
      </c>
      <c r="L12" s="317" t="n"/>
      <c r="M12" s="3" t="n"/>
    </row>
    <row r="13" ht="12.9" customFormat="1" customHeight="1" s="24">
      <c r="A13" s="25" t="n"/>
      <c r="B13" s="25" t="n"/>
      <c r="C13" s="180" t="inlineStr">
        <is>
          <t>Fabric type:</t>
        </is>
      </c>
      <c r="D13" s="181" t="n"/>
      <c r="E13" s="42" t="n"/>
      <c r="F13" s="42" t="n"/>
      <c r="G13" s="180" t="inlineStr">
        <is>
          <t>Length of painter:</t>
        </is>
      </c>
      <c r="H13" s="36" t="n"/>
      <c r="I13" s="180" t="n"/>
      <c r="J13" s="36" t="n"/>
      <c r="K13" s="180" t="inlineStr">
        <is>
          <t>Max stowage height:</t>
        </is>
      </c>
      <c r="L13" s="36" t="n"/>
      <c r="M13" s="25" t="n"/>
    </row>
    <row r="14" ht="9.9" customFormat="1" customHeight="1" s="31">
      <c r="A14" s="30" t="n"/>
      <c r="B14" s="30" t="n"/>
      <c r="C14" s="32" t="inlineStr">
        <is>
          <t>Tipo de tela:</t>
        </is>
      </c>
      <c r="D14" s="30" t="n"/>
      <c r="E14" s="43" t="n"/>
      <c r="F14" s="43" t="n"/>
      <c r="G14" s="32" t="inlineStr">
        <is>
          <t>Comp. da retenida:</t>
        </is>
      </c>
      <c r="H14" s="33" t="n"/>
      <c r="I14" s="32" t="n"/>
      <c r="J14" s="33" t="n"/>
      <c r="K14" s="32" t="inlineStr">
        <is>
          <t>Altura máx. Lançamento:</t>
        </is>
      </c>
      <c r="L14" s="33" t="n"/>
      <c r="M14" s="30" t="n"/>
    </row>
    <row r="15">
      <c r="A15" s="163" t="n"/>
      <c r="B15" s="163" t="n"/>
      <c r="C15" s="320" t="inlineStr">
        <is>
          <t>PU</t>
        </is>
      </c>
      <c r="D15" s="316" t="n"/>
      <c r="E15" s="316" t="n"/>
      <c r="F15" s="317" t="n"/>
      <c r="G15" s="189" t="n">
        <v>18</v>
      </c>
      <c r="H15" s="12" t="inlineStr">
        <is>
          <t>m/inside</t>
        </is>
      </c>
      <c r="I15" s="189" t="n">
        <v>1</v>
      </c>
      <c r="J15" s="12" t="inlineStr">
        <is>
          <t>m/outside</t>
        </is>
      </c>
      <c r="K15" s="320" t="n">
        <v>6</v>
      </c>
      <c r="L15" s="317" t="n"/>
      <c r="M15" s="163" t="n"/>
    </row>
    <row r="16" ht="15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3" t="n"/>
    </row>
    <row r="17" ht="12.9" customFormat="1" customHeight="1" s="24">
      <c r="A17" s="25" t="inlineStr">
        <is>
          <t>Cylinders:</t>
        </is>
      </c>
      <c r="B17" s="165" t="n"/>
      <c r="C17" s="165" t="inlineStr">
        <is>
          <t>Serial No.</t>
        </is>
      </c>
      <c r="F17" s="165" t="n"/>
      <c r="G17" s="165" t="inlineStr">
        <is>
          <t>Contents CO2</t>
        </is>
      </c>
      <c r="I17" s="165" t="inlineStr">
        <is>
          <t>Contents N2</t>
        </is>
      </c>
      <c r="K17" s="165" t="inlineStr">
        <is>
          <t>Latest hyd. Test</t>
        </is>
      </c>
      <c r="M17" s="165" t="n"/>
    </row>
    <row r="18" ht="9.9" customFormat="1" customHeight="1" s="46">
      <c r="A18" s="163" t="inlineStr">
        <is>
          <t>Cilindros:</t>
        </is>
      </c>
      <c r="B18" s="207" t="inlineStr">
        <is>
          <t>41832000200489</t>
        </is>
      </c>
      <c r="C18" s="207" t="inlineStr">
        <is>
          <t>No. Série</t>
        </is>
      </c>
      <c r="F18" s="207" t="n"/>
      <c r="G18" s="207" t="inlineStr">
        <is>
          <t>Quantidade de Co2</t>
        </is>
      </c>
      <c r="I18" s="207" t="inlineStr">
        <is>
          <t>Quantidade de N2</t>
        </is>
      </c>
      <c r="K18" s="207" t="inlineStr">
        <is>
          <t>Último teste hidráulico</t>
        </is>
      </c>
      <c r="M18" s="207" t="n"/>
    </row>
    <row r="19" ht="15" customHeight="1">
      <c r="A19" s="3" t="n"/>
      <c r="B19" s="3" t="n"/>
      <c r="C19" s="209">
        <f>QUADRO!I56</f>
        <v/>
      </c>
      <c r="D19" s="321" t="n"/>
      <c r="E19" s="321" t="n"/>
      <c r="F19" s="322" t="n"/>
      <c r="G19" s="323">
        <f>QUADRO!I62</f>
        <v/>
      </c>
      <c r="H19" s="322" t="n"/>
      <c r="I19" s="323">
        <f>QUADRO!I64</f>
        <v/>
      </c>
      <c r="J19" s="322" t="n"/>
      <c r="K19" s="209">
        <f>QUADRO!I66</f>
        <v/>
      </c>
      <c r="L19" s="322" t="n"/>
      <c r="M19" s="3" t="n"/>
    </row>
    <row r="20" ht="15" customHeight="1">
      <c r="A20" s="3" t="n"/>
      <c r="B20" s="3" t="n"/>
      <c r="C20" s="210" t="n"/>
      <c r="D20" s="321" t="n"/>
      <c r="E20" s="321" t="n"/>
      <c r="F20" s="322" t="n"/>
      <c r="G20" s="323" t="n"/>
      <c r="H20" s="322" t="n"/>
      <c r="I20" s="323" t="n"/>
      <c r="J20" s="322" t="n"/>
      <c r="K20" s="209" t="n"/>
      <c r="L20" s="322" t="n"/>
      <c r="M20" s="3" t="n"/>
    </row>
    <row r="21" ht="15" customHeight="1">
      <c r="A21" s="3" t="n"/>
      <c r="B21" s="3" t="n"/>
      <c r="C21" s="206" t="n"/>
      <c r="D21" s="321" t="n"/>
      <c r="E21" s="321" t="n"/>
      <c r="F21" s="322" t="n"/>
      <c r="G21" s="206" t="n"/>
      <c r="H21" s="322" t="n"/>
      <c r="I21" s="206" t="n"/>
      <c r="J21" s="322" t="n"/>
      <c r="K21" s="206" t="n"/>
      <c r="L21" s="322" t="n"/>
      <c r="M21" s="3" t="n"/>
    </row>
    <row r="22" ht="15" customHeight="1">
      <c r="A22" s="3" t="n"/>
      <c r="B22" s="3" t="n"/>
      <c r="C22" s="206" t="n"/>
      <c r="D22" s="321" t="n"/>
      <c r="E22" s="321" t="n"/>
      <c r="F22" s="322" t="n"/>
      <c r="G22" s="206" t="n"/>
      <c r="H22" s="322" t="n"/>
      <c r="I22" s="206" t="n"/>
      <c r="J22" s="322" t="n"/>
      <c r="K22" s="206" t="n"/>
      <c r="L22" s="322" t="n"/>
      <c r="M22" s="3" t="n"/>
    </row>
    <row r="23" ht="15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3" t="n"/>
    </row>
    <row r="24" ht="12.9" customFormat="1" customHeight="1" s="24">
      <c r="A24" s="25" t="inlineStr">
        <is>
          <t>Equipment:</t>
        </is>
      </c>
      <c r="B24" s="25" t="n"/>
      <c r="C24" s="165" t="inlineStr">
        <is>
          <t>Unit</t>
        </is>
      </c>
      <c r="F24" s="165" t="n"/>
      <c r="G24" s="165" t="inlineStr">
        <is>
          <t>Type</t>
        </is>
      </c>
      <c r="I24" s="165" t="inlineStr">
        <is>
          <t xml:space="preserve">Serial No. </t>
        </is>
      </c>
      <c r="K24" s="165" t="inlineStr">
        <is>
          <t>Expiry date</t>
        </is>
      </c>
      <c r="M24" s="25" t="n"/>
    </row>
    <row r="25" ht="9.75" customFormat="1" customHeight="1" s="46">
      <c r="A25" s="163" t="inlineStr">
        <is>
          <t>Equipamento:</t>
        </is>
      </c>
      <c r="B25" s="163" t="n"/>
      <c r="C25" s="163" t="n"/>
      <c r="F25" s="163" t="n"/>
      <c r="G25" s="207" t="inlineStr">
        <is>
          <t>Tipo</t>
        </is>
      </c>
      <c r="I25" s="207" t="inlineStr">
        <is>
          <t>No. Série</t>
        </is>
      </c>
      <c r="K25" s="207" t="inlineStr">
        <is>
          <t>Validade</t>
        </is>
      </c>
      <c r="M25" s="163" t="n"/>
    </row>
    <row r="26" ht="12.9" customFormat="1" customHeight="1" s="24">
      <c r="A26" s="25" t="n"/>
      <c r="B26" s="25" t="n"/>
      <c r="C26" s="180" t="inlineStr">
        <is>
          <t>Emengency pack:</t>
        </is>
      </c>
      <c r="D26" s="324" t="n"/>
      <c r="E26" s="324" t="n"/>
      <c r="F26" s="36" t="n"/>
      <c r="G26" s="210">
        <f>QUADRO!F47</f>
        <v/>
      </c>
      <c r="H26" s="325" t="n"/>
      <c r="I26" s="326">
        <f>QUADRO!C7</f>
        <v/>
      </c>
      <c r="J26" s="325" t="n"/>
      <c r="K26" s="327">
        <f>QUADRO!F81+366</f>
        <v/>
      </c>
      <c r="L26" s="325" t="n"/>
      <c r="M26" s="25" t="n"/>
    </row>
    <row r="27" ht="9.9" customFormat="1" customHeight="1" s="46">
      <c r="A27" s="163" t="n"/>
      <c r="B27" s="163" t="n"/>
      <c r="C27" s="186" t="inlineStr">
        <is>
          <t>Equi. de emerg.:</t>
        </is>
      </c>
      <c r="D27" s="328" t="n"/>
      <c r="E27" s="328" t="n"/>
      <c r="F27" s="51" t="n"/>
      <c r="G27" s="329" t="n"/>
      <c r="H27" s="317" t="n"/>
      <c r="I27" s="329" t="n"/>
      <c r="J27" s="317" t="n"/>
      <c r="K27" s="329" t="n"/>
      <c r="L27" s="317" t="n"/>
      <c r="M27" s="163" t="n"/>
    </row>
    <row r="28" ht="12.9" customFormat="1" customHeight="1" s="24">
      <c r="A28" s="25" t="n"/>
      <c r="B28" s="25" t="n"/>
      <c r="C28" s="180" t="inlineStr">
        <is>
          <t>EPIRB:</t>
        </is>
      </c>
      <c r="D28" s="324" t="n"/>
      <c r="E28" s="324" t="n"/>
      <c r="F28" s="36" t="n"/>
      <c r="G28" s="206" t="n"/>
      <c r="H28" s="325" t="n"/>
      <c r="I28" s="206" t="n"/>
      <c r="J28" s="325" t="n"/>
      <c r="K28" s="206" t="n"/>
      <c r="L28" s="325" t="n"/>
      <c r="M28" s="25" t="n"/>
    </row>
    <row r="29" ht="9.9" customFormat="1" customHeight="1" s="46">
      <c r="A29" s="163" t="n"/>
      <c r="B29" s="163" t="n"/>
      <c r="C29" s="186" t="inlineStr">
        <is>
          <t>Rádio Baliza:</t>
        </is>
      </c>
      <c r="D29" s="328" t="n"/>
      <c r="E29" s="328" t="n"/>
      <c r="F29" s="51" t="n"/>
      <c r="G29" s="329" t="n"/>
      <c r="H29" s="317" t="n"/>
      <c r="I29" s="329" t="n"/>
      <c r="J29" s="317" t="n"/>
      <c r="K29" s="329" t="n"/>
      <c r="L29" s="317" t="n"/>
      <c r="M29" s="163" t="n"/>
    </row>
    <row r="30" ht="12.9" customFormat="1" customHeight="1" s="24">
      <c r="A30" s="25" t="n"/>
      <c r="B30" s="25" t="n"/>
      <c r="C30" s="180" t="inlineStr">
        <is>
          <t>HRU test:</t>
        </is>
      </c>
      <c r="D30" s="324" t="n"/>
      <c r="E30" s="324" t="n"/>
      <c r="F30" s="36" t="n"/>
      <c r="G30" s="206" t="n"/>
      <c r="H30" s="325" t="n"/>
      <c r="I30" s="206" t="n"/>
      <c r="J30" s="325" t="n"/>
      <c r="K30" s="206" t="n"/>
      <c r="L30" s="325" t="n"/>
      <c r="M30" s="25" t="n"/>
    </row>
    <row r="31" ht="9.9" customFormat="1" customHeight="1" s="46">
      <c r="A31" s="163" t="n"/>
      <c r="B31" s="163" t="n"/>
      <c r="C31" s="186" t="inlineStr">
        <is>
          <t>Teste do Hidróstatico:</t>
        </is>
      </c>
      <c r="D31" s="328" t="n"/>
      <c r="E31" s="328" t="n"/>
      <c r="F31" s="51" t="n"/>
      <c r="G31" s="329" t="n"/>
      <c r="H31" s="317" t="n"/>
      <c r="I31" s="329" t="n"/>
      <c r="J31" s="317" t="n"/>
      <c r="K31" s="329" t="n"/>
      <c r="L31" s="317" t="n"/>
      <c r="M31" s="163" t="n"/>
    </row>
    <row r="32" ht="12.9" customFormat="1" customHeight="1" s="24">
      <c r="A32" s="25" t="n"/>
      <c r="B32" s="25" t="n"/>
      <c r="C32" s="180" t="inlineStr">
        <is>
          <t>Radar reflector:</t>
        </is>
      </c>
      <c r="D32" s="324" t="n"/>
      <c r="E32" s="324" t="n"/>
      <c r="F32" s="36" t="n"/>
      <c r="G32" s="206" t="n"/>
      <c r="H32" s="325" t="n"/>
      <c r="I32" s="206" t="n"/>
      <c r="J32" s="325" t="n"/>
      <c r="K32" s="206" t="inlineStr">
        <is>
          <t> </t>
        </is>
      </c>
      <c r="L32" s="325" t="n"/>
      <c r="M32" s="25" t="n"/>
    </row>
    <row r="33" ht="9.9" customFormat="1" customHeight="1" s="46">
      <c r="A33" s="163" t="n"/>
      <c r="B33" s="163" t="n"/>
      <c r="C33" s="186" t="inlineStr">
        <is>
          <t>Reflector de Radar:</t>
        </is>
      </c>
      <c r="D33" s="328" t="n"/>
      <c r="E33" s="328" t="n"/>
      <c r="F33" s="51" t="n"/>
      <c r="G33" s="329" t="n"/>
      <c r="H33" s="317" t="n"/>
      <c r="I33" s="329" t="n"/>
      <c r="J33" s="317" t="n"/>
      <c r="K33" s="329" t="n"/>
      <c r="L33" s="317" t="n"/>
      <c r="M33" s="163" t="n"/>
    </row>
    <row r="34" ht="12.75" customFormat="1" customHeight="1" s="24">
      <c r="A34" s="25" t="n"/>
      <c r="B34" s="25" t="n"/>
      <c r="C34" s="180" t="inlineStr">
        <is>
          <t>First aid kit:</t>
        </is>
      </c>
      <c r="D34" s="324" t="n"/>
      <c r="E34" s="324" t="n"/>
      <c r="F34" s="36" t="n"/>
      <c r="G34" s="330" t="inlineStr">
        <is>
          <t>SOLAS</t>
        </is>
      </c>
      <c r="H34" s="325" t="n"/>
      <c r="I34" s="330" t="n"/>
      <c r="J34" s="325" t="n"/>
      <c r="K34" s="331">
        <f>QUADRO!J13</f>
        <v/>
      </c>
      <c r="L34" s="325" t="n"/>
      <c r="M34" s="25" t="n"/>
    </row>
    <row r="35" ht="9.9" customFormat="1" customHeight="1" s="46">
      <c r="A35" s="163" t="n"/>
      <c r="B35" s="163" t="n"/>
      <c r="C35" s="186" t="inlineStr">
        <is>
          <t>Ambulância:</t>
        </is>
      </c>
      <c r="D35" s="328" t="n"/>
      <c r="E35" s="328" t="n"/>
      <c r="F35" s="51" t="n"/>
      <c r="G35" s="329" t="n"/>
      <c r="H35" s="317" t="n"/>
      <c r="I35" s="329" t="n"/>
      <c r="J35" s="317" t="n"/>
      <c r="K35" s="329" t="n"/>
      <c r="L35" s="317" t="n"/>
      <c r="M35" s="163" t="n"/>
    </row>
    <row r="36" ht="1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17" t="n"/>
      <c r="B37" s="17" t="n"/>
      <c r="C37" s="194" t="n"/>
      <c r="D37" s="332" t="n"/>
      <c r="E37" s="332" t="n"/>
      <c r="F37" s="194" t="n"/>
      <c r="G37" s="194" t="n"/>
      <c r="H37" s="332" t="n"/>
      <c r="I37" s="194" t="n"/>
      <c r="J37" s="332" t="n"/>
      <c r="K37" s="194" t="n"/>
      <c r="L37" s="332" t="n"/>
      <c r="M37" s="5" t="n"/>
    </row>
    <row r="38" ht="12.9" customFormat="1" customHeight="1" s="24">
      <c r="A38" s="25" t="inlineStr">
        <is>
          <t>Tests:</t>
        </is>
      </c>
      <c r="B38" s="25" t="n"/>
      <c r="C38" s="165" t="inlineStr">
        <is>
          <t>NAP - test</t>
        </is>
      </c>
      <c r="F38" s="165" t="n"/>
      <c r="G38" s="165" t="inlineStr">
        <is>
          <t>Gas inflation test</t>
        </is>
      </c>
      <c r="I38" s="165" t="inlineStr">
        <is>
          <t>Floor seam test</t>
        </is>
      </c>
      <c r="K38" s="165" t="inlineStr">
        <is>
          <t>Load test D. L.</t>
        </is>
      </c>
      <c r="M38" s="25" t="n"/>
    </row>
    <row r="39" ht="9.9" customFormat="1" customHeight="1" s="46">
      <c r="A39" s="163" t="inlineStr">
        <is>
          <t>Testes:</t>
        </is>
      </c>
      <c r="B39" s="163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163" t="n"/>
    </row>
    <row r="40" ht="12.9" customFormat="1" customHeight="1" s="24">
      <c r="A40" s="25" t="n"/>
      <c r="B40" s="162" t="n"/>
      <c r="C40" s="180" t="inlineStr">
        <is>
          <t>Yes/No</t>
        </is>
      </c>
      <c r="D40" s="181" t="n"/>
      <c r="E40" s="176" t="inlineStr">
        <is>
          <t>YES</t>
        </is>
      </c>
      <c r="F40" s="325" t="n"/>
      <c r="G40" s="180" t="inlineStr">
        <is>
          <t>Yes/No</t>
        </is>
      </c>
      <c r="H40" s="176" t="inlineStr">
        <is>
          <t>YES</t>
        </is>
      </c>
      <c r="I40" s="180" t="inlineStr">
        <is>
          <t>YES/NO</t>
        </is>
      </c>
      <c r="J40" s="176" t="inlineStr">
        <is>
          <t>YES</t>
        </is>
      </c>
      <c r="K40" s="180" t="inlineStr">
        <is>
          <t>Yes/No</t>
        </is>
      </c>
      <c r="L40" s="176" t="inlineStr">
        <is>
          <t>N/A</t>
        </is>
      </c>
      <c r="M40" s="162" t="n"/>
    </row>
    <row r="41" ht="9.9" customFormat="1" customHeight="1" s="46">
      <c r="A41" s="163" t="n"/>
      <c r="B41" s="163" t="n"/>
      <c r="C41" s="186" t="inlineStr">
        <is>
          <t>Sim/Não</t>
        </is>
      </c>
      <c r="D41" s="187" t="n"/>
      <c r="E41" s="316" t="n"/>
      <c r="F41" s="317" t="n"/>
      <c r="G41" s="186" t="inlineStr">
        <is>
          <t>Sim/Não</t>
        </is>
      </c>
      <c r="H41" s="317" t="n"/>
      <c r="I41" s="186" t="inlineStr">
        <is>
          <t>Sim/Não</t>
        </is>
      </c>
      <c r="J41" s="317" t="n"/>
      <c r="K41" s="186" t="inlineStr">
        <is>
          <t>Sim/Não</t>
        </is>
      </c>
      <c r="L41" s="317" t="n"/>
      <c r="M41" s="163" t="n"/>
    </row>
    <row r="42" ht="12.9" customFormat="1" customHeight="1" s="24">
      <c r="A42" s="23" t="n"/>
      <c r="B42" s="23" t="n"/>
      <c r="C42" s="180" t="inlineStr">
        <is>
          <t>Latest test:</t>
        </is>
      </c>
      <c r="D42" s="181" t="n"/>
      <c r="E42" s="333" t="inlineStr">
        <is>
          <t>03/25</t>
        </is>
      </c>
      <c r="F42" s="325" t="n"/>
      <c r="G42" s="180" t="inlineStr">
        <is>
          <t>Latest test:</t>
        </is>
      </c>
      <c r="H42" s="333" t="inlineStr">
        <is>
          <t>03/23</t>
        </is>
      </c>
      <c r="I42" s="180" t="inlineStr">
        <is>
          <t>Latest test:</t>
        </is>
      </c>
      <c r="J42" s="333" t="inlineStr">
        <is>
          <t>03/25</t>
        </is>
      </c>
      <c r="K42" s="180" t="inlineStr">
        <is>
          <t>Latest test:</t>
        </is>
      </c>
      <c r="L42" s="333">
        <f>QUADRO!J53</f>
        <v/>
      </c>
      <c r="M42" s="23" t="n"/>
    </row>
    <row r="43" ht="9.9" customFormat="1" customHeight="1" s="46">
      <c r="A43" s="207" t="n"/>
      <c r="B43" s="207" t="n"/>
      <c r="C43" s="186" t="inlineStr">
        <is>
          <t>Último teste:</t>
        </is>
      </c>
      <c r="D43" s="187" t="n"/>
      <c r="E43" s="316" t="n"/>
      <c r="F43" s="317" t="n"/>
      <c r="G43" s="186" t="inlineStr">
        <is>
          <t>Último teste:</t>
        </is>
      </c>
      <c r="H43" s="317" t="n"/>
      <c r="I43" s="186" t="inlineStr">
        <is>
          <t>Último teste:</t>
        </is>
      </c>
      <c r="J43" s="317" t="n"/>
      <c r="K43" s="186" t="inlineStr">
        <is>
          <t>Último teste:</t>
        </is>
      </c>
      <c r="L43" s="317" t="n"/>
      <c r="M43" s="207" t="n"/>
    </row>
    <row r="44" ht="15" customHeight="1">
      <c r="A44" s="216" t="n"/>
      <c r="B44" s="216" t="n"/>
      <c r="C44" s="216" t="n"/>
      <c r="D44" s="216" t="n"/>
      <c r="E44" s="216" t="n"/>
      <c r="F44" s="216" t="n"/>
      <c r="G44" s="216" t="n"/>
      <c r="H44" s="216" t="n"/>
      <c r="I44" s="216" t="n"/>
      <c r="J44" s="216" t="n"/>
      <c r="K44" s="216" t="n"/>
      <c r="L44" s="216" t="n"/>
      <c r="M44" s="216" t="n"/>
    </row>
    <row r="45" ht="12.9" customFormat="1" customHeight="1" s="24">
      <c r="A45" s="25" t="inlineStr">
        <is>
          <t>Verification:</t>
        </is>
      </c>
      <c r="B45" s="25" t="n"/>
      <c r="C45" s="180" t="inlineStr">
        <is>
          <t>Date of inspection:</t>
        </is>
      </c>
      <c r="D45" s="181" t="n"/>
      <c r="E45" s="181" t="n"/>
      <c r="F45" s="181" t="n"/>
      <c r="G45" s="180" t="inlineStr">
        <is>
          <t>Service station name and No.</t>
        </is>
      </c>
      <c r="H45" s="181" t="n"/>
      <c r="I45" s="181" t="n"/>
      <c r="J45" s="36" t="n"/>
      <c r="K45" s="180" t="inlineStr">
        <is>
          <t>Date next inspection:</t>
        </is>
      </c>
      <c r="L45" s="36" t="n"/>
      <c r="M45" s="25" t="n"/>
    </row>
    <row r="46" ht="9.9" customFormat="1" customHeight="1" s="46">
      <c r="A46" s="163" t="inlineStr">
        <is>
          <t>Verificação:</t>
        </is>
      </c>
      <c r="B46" s="163" t="n"/>
      <c r="C46" s="47" t="inlineStr">
        <is>
          <t>Data da inspecção:</t>
        </is>
      </c>
      <c r="D46" s="163" t="n"/>
      <c r="E46" s="163" t="n"/>
      <c r="F46" s="163" t="n"/>
      <c r="G46" s="47" t="inlineStr">
        <is>
          <t>Nome e No. da Estação de Serviço</t>
        </is>
      </c>
      <c r="H46" s="163" t="n"/>
      <c r="I46" s="163" t="n"/>
      <c r="J46" s="48" t="n"/>
      <c r="K46" s="47" t="inlineStr">
        <is>
          <t>Data da próxima inspecção:</t>
        </is>
      </c>
      <c r="L46" s="48" t="n"/>
      <c r="M46" s="163" t="n"/>
    </row>
    <row r="47" ht="15" customHeight="1">
      <c r="A47" s="216" t="n"/>
      <c r="B47" s="216" t="n"/>
      <c r="C47" s="334">
        <f>QUADRO!F81</f>
        <v/>
      </c>
      <c r="D47" s="316" t="n"/>
      <c r="E47" s="316" t="n"/>
      <c r="F47" s="317" t="n"/>
      <c r="G47" s="315">
        <f>QUADRO!C81</f>
        <v/>
      </c>
      <c r="H47" s="316" t="n"/>
      <c r="I47" s="316" t="n"/>
      <c r="J47" s="317" t="n"/>
      <c r="K47" s="334">
        <f>C47+365</f>
        <v/>
      </c>
      <c r="L47" s="317" t="n"/>
      <c r="M47" s="216" t="n"/>
    </row>
    <row r="48" ht="15" customHeight="1">
      <c r="A48" s="216" t="n"/>
      <c r="B48" s="216" t="n"/>
      <c r="C48" s="216" t="n"/>
      <c r="D48" s="216" t="n"/>
      <c r="E48" s="216" t="n"/>
      <c r="F48" s="216" t="n"/>
      <c r="G48" s="216" t="n"/>
      <c r="H48" s="216" t="n"/>
      <c r="I48" s="216" t="n"/>
      <c r="J48" s="216" t="n"/>
      <c r="K48" s="216" t="n"/>
      <c r="L48" s="216" t="n"/>
      <c r="M48" s="216" t="n"/>
    </row>
    <row r="49" ht="12.9" customFormat="1" customHeight="1" s="24">
      <c r="A49" s="23" t="n"/>
      <c r="B49" s="23" t="n"/>
      <c r="C49" s="177" t="inlineStr">
        <is>
          <t>National Marine</t>
        </is>
      </c>
      <c r="D49" s="324" t="n"/>
      <c r="E49" s="324" t="n"/>
      <c r="F49" s="53" t="inlineStr">
        <is>
          <t>Remarks/Modifications Observações/Modificações</t>
        </is>
      </c>
      <c r="G49" s="54" t="n"/>
      <c r="H49" s="54" t="n"/>
      <c r="I49" s="39" t="n"/>
      <c r="J49" s="39" t="n"/>
      <c r="K49" s="39" t="n"/>
      <c r="L49" s="38" t="n"/>
      <c r="M49" s="23" t="n"/>
    </row>
    <row r="50" ht="14.25" customHeight="1">
      <c r="A50" s="144" t="n"/>
      <c r="B50" s="144" t="n"/>
      <c r="C50" s="179" t="inlineStr">
        <is>
          <t>authority ID No.</t>
        </is>
      </c>
      <c r="F50" s="335" t="inlineStr">
        <is>
          <t>REPORT ANNEXED</t>
        </is>
      </c>
      <c r="L50" s="336" t="n"/>
      <c r="M50" s="144" t="n"/>
    </row>
    <row r="51" ht="12.75" customHeight="1">
      <c r="A51" s="144" t="n"/>
      <c r="B51" s="144" t="n"/>
      <c r="C51" s="145" t="n"/>
      <c r="F51" s="337" t="n"/>
      <c r="L51" s="336" t="n"/>
      <c r="M51" s="144" t="n"/>
    </row>
    <row r="52" ht="15" customHeight="1">
      <c r="A52" s="216" t="n"/>
      <c r="B52" s="216" t="n"/>
      <c r="C52" s="338" t="n"/>
      <c r="D52" s="328" t="n"/>
      <c r="E52" s="328" t="n"/>
      <c r="F52" s="338" t="n"/>
      <c r="G52" s="328" t="n"/>
      <c r="H52" s="328" t="n"/>
      <c r="I52" s="328" t="n"/>
      <c r="J52" s="328" t="n"/>
      <c r="K52" s="328" t="n"/>
      <c r="L52" s="339" t="n"/>
      <c r="M52" s="216" t="n"/>
    </row>
    <row r="53" ht="4.5" customHeight="1">
      <c r="A53" s="216" t="n"/>
      <c r="B53" s="216" t="n"/>
      <c r="C53" s="144" t="n"/>
      <c r="D53" s="144" t="n"/>
      <c r="E53" s="144" t="n"/>
      <c r="F53" s="144" t="n"/>
      <c r="G53" s="144" t="n"/>
      <c r="H53" s="144" t="n"/>
      <c r="I53" s="144" t="n"/>
      <c r="J53" s="144" t="n"/>
      <c r="K53" s="144" t="n"/>
      <c r="L53" s="144" t="n"/>
      <c r="M53" s="216" t="n"/>
    </row>
    <row r="54" ht="15" customHeight="1">
      <c r="A54" s="216" t="n"/>
      <c r="B54" s="159" t="inlineStr">
        <is>
          <t>According to SOLAS regulation, this inflatable liferaft requires servicing within 12 months from the date of inspection.</t>
        </is>
      </c>
      <c r="M54" s="216" t="n"/>
    </row>
    <row r="55" ht="15" customHeight="1">
      <c r="A55" s="216" t="n"/>
      <c r="B55" s="207" t="inlineStr">
        <is>
          <t>De acordo com a regulação SOLAS, esta jangada insuflavel requer inspecção dentro de 12 meses a partir da data de inspecção.</t>
        </is>
      </c>
      <c r="M55" s="216" t="n"/>
    </row>
    <row r="56" ht="15" customHeight="1">
      <c r="A56" s="216" t="n"/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6" t="n"/>
    </row>
    <row r="57" ht="14.1" customFormat="1" customHeight="1" s="24">
      <c r="A57" s="162" t="inlineStr">
        <is>
          <t>Flag of Ship:</t>
        </is>
      </c>
      <c r="C57" s="22" t="n"/>
      <c r="D57" s="219" t="inlineStr">
        <is>
          <t>PORTUGAL</t>
        </is>
      </c>
      <c r="E57" s="340" t="n"/>
      <c r="F57" s="219" t="n"/>
      <c r="G57" s="28" t="n"/>
      <c r="H57" s="162" t="n"/>
      <c r="I57" s="23" t="n"/>
      <c r="J57" s="23" t="n"/>
      <c r="K57" s="23" t="n"/>
      <c r="L57" s="23" t="n"/>
      <c r="M57" s="23" t="n"/>
    </row>
    <row r="58" ht="9.9" customFormat="1" customHeight="1" s="46">
      <c r="A58" s="163" t="inlineStr">
        <is>
          <t>Nacionalidade:</t>
        </is>
      </c>
      <c r="C58" s="22" t="n"/>
      <c r="D58" s="340" t="n"/>
      <c r="E58" s="340" t="n"/>
      <c r="F58" s="219" t="n"/>
      <c r="G58" s="10" t="n"/>
      <c r="H58" s="163" t="n"/>
      <c r="I58" s="207" t="n"/>
      <c r="J58" s="207" t="n"/>
      <c r="K58" s="207" t="n"/>
      <c r="L58" s="207" t="n"/>
      <c r="M58" s="207" t="n"/>
    </row>
    <row r="59" ht="14.1" customFormat="1" customHeight="1" s="24">
      <c r="A59" s="162" t="inlineStr">
        <is>
          <t>IMO No.</t>
        </is>
      </c>
      <c r="C59" s="41" t="inlineStr">
        <is>
          <t> </t>
        </is>
      </c>
      <c r="D59" s="220" t="n"/>
      <c r="E59" s="340" t="n"/>
      <c r="F59" s="220" t="n"/>
      <c r="G59" s="28" t="n"/>
      <c r="H59" s="162" t="n"/>
      <c r="I59" s="161" t="inlineStr">
        <is>
          <t>OREY TECNICA - SERVIÇOS NAVAIS, LDA.</t>
        </is>
      </c>
      <c r="J59" s="340" t="n"/>
      <c r="K59" s="340" t="n"/>
      <c r="L59" s="340" t="n"/>
      <c r="M59" s="23" t="n"/>
    </row>
    <row r="60" ht="9.75" customHeight="1">
      <c r="A60" s="164" t="n"/>
      <c r="C60" s="41" t="n"/>
      <c r="D60" s="340" t="n"/>
      <c r="E60" s="340" t="n"/>
      <c r="F60" s="220" t="n"/>
      <c r="G60" s="11" t="n"/>
      <c r="H60" s="3" t="n"/>
      <c r="I60" s="141" t="inlineStr">
        <is>
          <t>For authorized servicing station</t>
        </is>
      </c>
      <c r="M60" s="216" t="n"/>
    </row>
    <row r="61" ht="14.1" customFormat="1" customHeight="1" s="24">
      <c r="A61" s="40" t="inlineStr">
        <is>
          <t>International call signal:</t>
        </is>
      </c>
      <c r="B61" s="40" t="n"/>
      <c r="C61" s="22" t="n"/>
      <c r="D61" s="219" t="n"/>
      <c r="E61" s="340" t="n"/>
      <c r="F61" s="219" t="n"/>
      <c r="G61" s="28" t="n"/>
      <c r="H61" s="162" t="n"/>
      <c r="I61" s="23" t="n"/>
      <c r="J61" s="23" t="n"/>
      <c r="K61" s="23" t="n"/>
      <c r="L61" s="23" t="n"/>
      <c r="M61" s="23" t="n"/>
    </row>
    <row r="62" ht="9.9" customFormat="1" customHeight="1" s="46">
      <c r="A62" s="163" t="inlineStr">
        <is>
          <t>Indicativo de chamada:</t>
        </is>
      </c>
      <c r="C62" s="22" t="n"/>
      <c r="D62" s="340" t="n"/>
      <c r="E62" s="340" t="n"/>
      <c r="F62" s="219" t="n"/>
      <c r="G62" s="10" t="n"/>
      <c r="H62" s="163" t="n"/>
      <c r="I62" s="207" t="n"/>
      <c r="J62" s="207" t="n"/>
      <c r="K62" s="207" t="n"/>
      <c r="L62" s="207" t="n"/>
      <c r="M62" s="207" t="n"/>
    </row>
    <row r="63" ht="14.1" customFormat="1" customHeight="1" s="24">
      <c r="A63" s="162" t="inlineStr">
        <is>
          <t>Name of Ship:</t>
        </is>
      </c>
      <c r="C63" s="22" t="n"/>
      <c r="D63" s="221">
        <f>QUADRO!E7</f>
        <v/>
      </c>
      <c r="E63" s="340" t="n"/>
      <c r="F63" s="340" t="n"/>
      <c r="G63" s="340" t="n"/>
      <c r="H63" s="29" t="n"/>
      <c r="I63" s="23" t="n"/>
      <c r="J63" s="23" t="n"/>
      <c r="K63" s="23" t="n"/>
      <c r="L63" s="23" t="n"/>
      <c r="M63" s="23" t="n"/>
    </row>
    <row r="64" ht="9.9" customFormat="1" customHeight="1" s="46">
      <c r="A64" s="163" t="inlineStr">
        <is>
          <t>Nome do navio</t>
        </is>
      </c>
      <c r="C64" s="22" t="n"/>
      <c r="D64" s="340" t="n"/>
      <c r="E64" s="340" t="n"/>
      <c r="F64" s="340" t="n"/>
      <c r="G64" s="340" t="n"/>
      <c r="H64" s="34" t="n"/>
      <c r="I64" s="207" t="n"/>
      <c r="J64" s="207" t="n"/>
      <c r="K64" s="207" t="n"/>
      <c r="L64" s="207" t="n"/>
      <c r="M64" s="207" t="n"/>
    </row>
    <row r="65" ht="14.1" customFormat="1" customHeight="1" s="24">
      <c r="A65" s="162" t="inlineStr">
        <is>
          <t>Ship owner:</t>
        </is>
      </c>
      <c r="C65" s="22" t="n"/>
      <c r="D65" s="219" t="inlineStr">
        <is>
          <t>PETERZEE, ACTIVIDADES TURISTICAS, LDA</t>
        </is>
      </c>
      <c r="E65" s="340" t="n"/>
      <c r="F65" s="340" t="n"/>
      <c r="G65" s="340" t="n"/>
      <c r="H65" s="340" t="n"/>
      <c r="I65" s="340" t="n"/>
      <c r="J65" s="160" t="n"/>
      <c r="K65" s="328" t="n"/>
      <c r="L65" s="23" t="n"/>
      <c r="M65" s="23" t="n"/>
    </row>
    <row r="66" ht="9.9" customFormat="1" customHeight="1" s="46">
      <c r="A66" s="163" t="inlineStr">
        <is>
          <t>Armador:</t>
        </is>
      </c>
      <c r="C66" s="22" t="n"/>
      <c r="D66" s="340" t="n"/>
      <c r="E66" s="340" t="n"/>
      <c r="F66" s="340" t="n"/>
      <c r="G66" s="340" t="n"/>
      <c r="H66" s="340" t="n"/>
      <c r="I66" s="340" t="n"/>
      <c r="J66" s="207" t="inlineStr">
        <is>
          <t>Signature</t>
        </is>
      </c>
      <c r="L66" s="207" t="n"/>
      <c r="M66" s="207" t="n"/>
    </row>
    <row r="67" ht="13.5" customHeight="1">
      <c r="A67" s="9" t="n"/>
      <c r="B67" s="216" t="n"/>
      <c r="C67" s="20" t="n"/>
      <c r="D67" s="20" t="n"/>
      <c r="E67" s="21" t="n"/>
      <c r="F67" s="21" t="n"/>
      <c r="G67" s="21" t="n"/>
      <c r="H67" s="21" t="n"/>
      <c r="I67" s="216" t="n"/>
      <c r="J67" s="216" t="n"/>
      <c r="K67" s="216" t="n"/>
      <c r="L67" s="216" t="n"/>
      <c r="M67" s="216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</row>
    <row r="69" ht="12.75" customHeight="1">
      <c r="A69" s="218" t="inlineStr">
        <is>
          <t xml:space="preserve">OREY GROUP:   OREY Financial   |   OREY International   |   OREY Shipping   |   OREY Technical
Orey Técnica – Serviços Navais, Lda
Polígono Industrial Lezíria Park, Armazém 2, E.N. 10, 2625-445 Forte da Casa   Tel:+(351) 213 610 890   Fax:+(351) 213 640 144   E-mail: orey-tecnica@orey.com  
Delegação Norte: Rua Roberto Ivens, nº 315, 4450-253 Matosinhos   Tel:+(351) 229 363 490   Fax:+(351) 229 363 491   E-mail: leixoes.tecnica@orey.com
Delegação Sul: Zona Industrial e Comercial do Rogel, Lt.3, Fracção G, 8365-204 Alcantarilha Tel:+(351) 282 322 795 Fax:+(351) 282 322 156  E-mail:algarve.tecnica@orey.com
Delegação Açores: Zona Industrial dos Portões Vermelhos, Armazém 19, 9560-350 Cabouco-Lagoa Tel:+(351) 296 929 314  Fax:+(351) 296 929 315   E-mail: azores.tecnica@orey.com
www.oreytecnica.com  </t>
        </is>
      </c>
    </row>
    <row r="70"/>
    <row r="71"/>
    <row r="72"/>
    <row r="73"/>
    <row r="74"/>
    <row r="75"/>
    <row r="76"/>
    <row r="77">
      <c r="G77" s="215" t="inlineStr">
        <is>
          <t>IM.051/00</t>
        </is>
      </c>
    </row>
  </sheetData>
  <mergeCells count="114">
    <mergeCell ref="G21:H21"/>
    <mergeCell ref="A64:B64"/>
    <mergeCell ref="K24:L24"/>
    <mergeCell ref="C31:E31"/>
    <mergeCell ref="G47:J47"/>
    <mergeCell ref="I25:J25"/>
    <mergeCell ref="C15:F15"/>
    <mergeCell ref="G18:H18"/>
    <mergeCell ref="I18:J18"/>
    <mergeCell ref="C18:E18"/>
    <mergeCell ref="C49:E49"/>
    <mergeCell ref="C34:E34"/>
    <mergeCell ref="L40:L41"/>
    <mergeCell ref="A62:B62"/>
    <mergeCell ref="G20:H20"/>
    <mergeCell ref="E42:F43"/>
    <mergeCell ref="B8:K8"/>
    <mergeCell ref="I20:J20"/>
    <mergeCell ref="G34:H35"/>
    <mergeCell ref="A6:L6"/>
    <mergeCell ref="K37:L37"/>
    <mergeCell ref="G22:H22"/>
    <mergeCell ref="C25:E25"/>
    <mergeCell ref="D57:E58"/>
    <mergeCell ref="G12:H12"/>
    <mergeCell ref="G77:H77"/>
    <mergeCell ref="A59:B59"/>
    <mergeCell ref="G28:H29"/>
    <mergeCell ref="K15:L15"/>
    <mergeCell ref="C19:F19"/>
    <mergeCell ref="G30:H31"/>
    <mergeCell ref="K21:L21"/>
    <mergeCell ref="G38:H38"/>
    <mergeCell ref="G32:H33"/>
    <mergeCell ref="L42:L43"/>
    <mergeCell ref="D65:I66"/>
    <mergeCell ref="C32:E32"/>
    <mergeCell ref="C38:E38"/>
    <mergeCell ref="G24:H24"/>
    <mergeCell ref="I24:J24"/>
    <mergeCell ref="D59:E60"/>
    <mergeCell ref="I17:J17"/>
    <mergeCell ref="K17:L17"/>
    <mergeCell ref="C24:E24"/>
    <mergeCell ref="A69:L76"/>
    <mergeCell ref="C33:E33"/>
    <mergeCell ref="D61:E62"/>
    <mergeCell ref="A63:B63"/>
    <mergeCell ref="B55:L55"/>
    <mergeCell ref="G25:H25"/>
    <mergeCell ref="I19:J19"/>
    <mergeCell ref="I26:J27"/>
    <mergeCell ref="K19:L19"/>
    <mergeCell ref="C26:E26"/>
    <mergeCell ref="C35:E35"/>
    <mergeCell ref="I28:J29"/>
    <mergeCell ref="F50:L52"/>
    <mergeCell ref="K3:L3"/>
    <mergeCell ref="C50:E50"/>
    <mergeCell ref="K25:L25"/>
    <mergeCell ref="B54:L54"/>
    <mergeCell ref="H40:H41"/>
    <mergeCell ref="I59:L59"/>
    <mergeCell ref="J40:J41"/>
    <mergeCell ref="I60:L60"/>
    <mergeCell ref="A65:B65"/>
    <mergeCell ref="K47:L47"/>
    <mergeCell ref="G37:H37"/>
    <mergeCell ref="I37:J37"/>
    <mergeCell ref="J65:K65"/>
    <mergeCell ref="I21:J21"/>
    <mergeCell ref="C28:E28"/>
    <mergeCell ref="C37:E37"/>
    <mergeCell ref="A57:B57"/>
    <mergeCell ref="C20:F20"/>
    <mergeCell ref="C30:E30"/>
    <mergeCell ref="C47:F47"/>
    <mergeCell ref="J66:K66"/>
    <mergeCell ref="I32:J33"/>
    <mergeCell ref="K32:L33"/>
    <mergeCell ref="C22:F22"/>
    <mergeCell ref="K26:L27"/>
    <mergeCell ref="C12:F12"/>
    <mergeCell ref="H42:H43"/>
    <mergeCell ref="C21:F21"/>
    <mergeCell ref="J42:J43"/>
    <mergeCell ref="C51:E52"/>
    <mergeCell ref="K18:L18"/>
    <mergeCell ref="A7:L7"/>
    <mergeCell ref="A60:B60"/>
    <mergeCell ref="E40:F41"/>
    <mergeCell ref="G17:H17"/>
    <mergeCell ref="K20:L20"/>
    <mergeCell ref="C27:E27"/>
    <mergeCell ref="I34:J35"/>
    <mergeCell ref="K34:L35"/>
    <mergeCell ref="G19:H19"/>
    <mergeCell ref="G26:H27"/>
    <mergeCell ref="K28:L29"/>
    <mergeCell ref="A66:B66"/>
    <mergeCell ref="C17:E17"/>
    <mergeCell ref="I22:J22"/>
    <mergeCell ref="K22:L22"/>
    <mergeCell ref="I3:J3"/>
    <mergeCell ref="I12:J12"/>
    <mergeCell ref="K12:L12"/>
    <mergeCell ref="I30:J31"/>
    <mergeCell ref="K30:L31"/>
    <mergeCell ref="I4:J4"/>
    <mergeCell ref="D63:G64"/>
    <mergeCell ref="I38:J38"/>
    <mergeCell ref="K38:L38"/>
    <mergeCell ref="C29:E29"/>
    <mergeCell ref="A58:B58"/>
  </mergeCells>
  <printOptions horizontalCentered="1" verticalCentered="1"/>
  <pageMargins left="0.25" right="0.25" top="0.75" bottom="0.75" header="0.3" footer="0.3"/>
  <pageSetup orientation="portrait" paperSize="9" scale="7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3:O84"/>
  <sheetViews>
    <sheetView tabSelected="1" topLeftCell="A3" zoomScale="48" zoomScaleNormal="48" workbookViewId="0">
      <selection activeCell="H7" sqref="H7:I8"/>
    </sheetView>
  </sheetViews>
  <sheetFormatPr baseColWidth="8" defaultColWidth="9.109375" defaultRowHeight="17.4"/>
  <cols>
    <col width="6.5546875" customWidth="1" style="55" min="1" max="1"/>
    <col width="40.6640625" customWidth="1" style="55" min="2" max="2"/>
    <col width="30.5546875" customWidth="1" style="55" min="3" max="3"/>
    <col width="21.6640625" customWidth="1" style="55" min="4" max="4"/>
    <col width="23.33203125" customWidth="1" style="55" min="5" max="5"/>
    <col width="38.6640625" customWidth="1" style="55" min="6" max="6"/>
    <col width="31.109375" customWidth="1" style="55" min="7" max="7"/>
    <col width="27.6640625" customWidth="1" style="55" min="8" max="8"/>
    <col width="19.5546875" customWidth="1" style="55" min="9" max="10"/>
    <col width="6.5546875" customWidth="1" style="55" min="11" max="11"/>
    <col width="9.109375" customWidth="1" style="55" min="12" max="12"/>
    <col width="12.44140625" customWidth="1" style="55" min="13" max="13"/>
    <col width="9.109375" customWidth="1" style="55" min="14" max="16384"/>
  </cols>
  <sheetData>
    <row r="1" ht="23.4" customHeight="1"/>
    <row r="2" ht="23.4" customHeight="1"/>
    <row r="3" ht="23.4" customHeight="1">
      <c r="D3" s="303" t="inlineStr">
        <is>
          <t>QUADRO DE INSPECÇÃO DA JANGADA</t>
        </is>
      </c>
      <c r="H3" s="304" t="inlineStr">
        <is>
          <t>OBRA Nº:</t>
        </is>
      </c>
      <c r="I3" s="306" t="n"/>
      <c r="J3" s="341" t="n"/>
    </row>
    <row r="4" ht="23.4" customFormat="1" customHeight="1" s="58">
      <c r="B4" s="56" t="inlineStr">
        <is>
          <t>                                         </t>
        </is>
      </c>
      <c r="C4" s="57" t="n"/>
      <c r="D4" s="308" t="inlineStr">
        <is>
          <t xml:space="preserve"> LIFERAFT INSPECTION SCHEDULE</t>
        </is>
      </c>
      <c r="H4" s="342" t="n"/>
      <c r="I4" s="338" t="n"/>
      <c r="J4" s="339" t="n"/>
    </row>
    <row r="5" ht="23.4" customFormat="1" customHeight="1" s="58">
      <c r="B5" s="56" t="inlineStr">
        <is>
          <t>                     </t>
        </is>
      </c>
      <c r="C5" s="56" t="n"/>
      <c r="H5" s="304" t="inlineStr">
        <is>
          <t>CERT. Nº</t>
        </is>
      </c>
      <c r="I5" s="343" t="inlineStr">
        <is>
          <t>AZ25-065</t>
        </is>
      </c>
      <c r="J5" s="341" t="n"/>
    </row>
    <row r="6" ht="23.4" customFormat="1" customHeight="1" s="58">
      <c r="B6" s="56" t="n"/>
      <c r="C6" s="56" t="n"/>
      <c r="D6" s="56" t="n"/>
      <c r="E6" s="56" t="n"/>
      <c r="F6" s="56" t="n"/>
      <c r="G6" s="56" t="n"/>
      <c r="H6" s="342" t="n"/>
      <c r="I6" s="338" t="n"/>
      <c r="J6" s="339" t="n"/>
    </row>
    <row r="7" ht="23.4" customHeight="1">
      <c r="B7" s="59" t="inlineStr">
        <is>
          <t>JANGADA:</t>
        </is>
      </c>
      <c r="C7" s="344" t="inlineStr">
        <is>
          <t>41832000200489</t>
        </is>
      </c>
      <c r="D7" s="59" t="inlineStr">
        <is>
          <t>NAVIO:</t>
        </is>
      </c>
      <c r="E7" s="345" t="inlineStr">
        <is>
          <t>BALEIAS EXPRESSO</t>
        </is>
      </c>
      <c r="F7" s="325" t="n"/>
      <c r="G7" s="60" t="inlineStr">
        <is>
          <t>MARCA/MODELO:</t>
        </is>
      </c>
      <c r="H7" s="345" t="inlineStr">
        <is>
          <t>RFD FERRYMAN</t>
        </is>
      </c>
      <c r="I7" s="325" t="n"/>
      <c r="J7" s="345" t="inlineStr">
        <is>
          <t>30P</t>
        </is>
      </c>
    </row>
    <row r="8" ht="23.4" customHeight="1">
      <c r="B8" s="61" t="inlineStr">
        <is>
          <t>LIFERAFT:</t>
        </is>
      </c>
      <c r="C8" s="346" t="n"/>
      <c r="D8" s="61" t="inlineStr">
        <is>
          <t>SHIP:</t>
        </is>
      </c>
      <c r="E8" s="329" t="n"/>
      <c r="F8" s="317" t="n"/>
      <c r="G8" s="62" t="inlineStr">
        <is>
          <t>BRAND/TYPE:</t>
        </is>
      </c>
      <c r="H8" s="329" t="n"/>
      <c r="I8" s="317" t="n"/>
      <c r="J8" s="346" t="n"/>
    </row>
    <row r="9" ht="5.25" customHeight="1">
      <c r="B9" s="63" t="n"/>
      <c r="C9" s="64" t="n"/>
      <c r="F9" s="64" t="n"/>
      <c r="G9" s="65" t="n"/>
      <c r="H9" s="65" t="n"/>
      <c r="I9" s="66" t="n"/>
      <c r="J9" s="67" t="n"/>
    </row>
    <row r="10" ht="23.4" customFormat="1" customHeight="1" s="74">
      <c r="B10" s="68" t="inlineStr">
        <is>
          <t>JANGADA - EXTERIOR</t>
        </is>
      </c>
      <c r="C10" s="69" t="n"/>
      <c r="D10" s="59" t="inlineStr">
        <is>
          <t>Fecho da Cobertura</t>
        </is>
      </c>
      <c r="E10" s="70" t="n"/>
      <c r="F10" s="71" t="n"/>
      <c r="G10" s="59" t="inlineStr">
        <is>
          <t>Ajudas Térmicas</t>
        </is>
      </c>
      <c r="H10" s="70" t="n"/>
      <c r="I10" s="72" t="n"/>
      <c r="J10" s="73" t="n"/>
    </row>
    <row r="11" ht="23.4" customHeight="1">
      <c r="B11" s="75" t="inlineStr">
        <is>
          <t>LIFERAFT - EXTERNAL</t>
        </is>
      </c>
      <c r="C11" s="76" t="n"/>
      <c r="D11" s="63" t="inlineStr">
        <is>
          <t>Closure for Canopy</t>
        </is>
      </c>
      <c r="F11" s="77" t="n"/>
      <c r="G11" s="63" t="inlineStr">
        <is>
          <t>Thermal Protective Aids</t>
        </is>
      </c>
      <c r="I11" s="78" t="n"/>
      <c r="J11" s="79" t="n"/>
    </row>
    <row r="12" ht="23.4" customFormat="1" customHeight="1" s="74">
      <c r="B12" s="59" t="inlineStr">
        <is>
          <t>Cobertura Exterior</t>
        </is>
      </c>
      <c r="C12" s="71" t="n"/>
      <c r="D12" s="59" t="inlineStr">
        <is>
          <t>Protectores de Juntas</t>
        </is>
      </c>
      <c r="E12" s="70" t="n"/>
      <c r="F12" s="71" t="n"/>
      <c r="G12" s="59" t="inlineStr">
        <is>
          <t>Ambulância</t>
        </is>
      </c>
      <c r="H12" s="70" t="n"/>
      <c r="I12" s="72" t="n"/>
      <c r="J12" s="73" t="n"/>
      <c r="O12" s="74" t="inlineStr">
        <is>
          <t> </t>
        </is>
      </c>
    </row>
    <row r="13" ht="23.4" customHeight="1">
      <c r="B13" s="61" t="inlineStr">
        <is>
          <t>Canopy External</t>
        </is>
      </c>
      <c r="C13" s="80" t="n"/>
      <c r="D13" s="61" t="inlineStr">
        <is>
          <t>Seam Protective Tapes</t>
        </is>
      </c>
      <c r="E13" s="81" t="n"/>
      <c r="F13" s="80" t="n"/>
      <c r="G13" s="61" t="inlineStr">
        <is>
          <t>First Aid Kit</t>
        </is>
      </c>
      <c r="H13" s="81" t="n"/>
      <c r="I13" s="82" t="n"/>
      <c r="J13" s="83" t="n"/>
    </row>
    <row r="14" ht="23.4" customFormat="1" customHeight="1" s="74">
      <c r="B14" s="84" t="inlineStr">
        <is>
          <t>Saída de Antena</t>
        </is>
      </c>
      <c r="C14" s="78" t="n"/>
      <c r="D14" s="84" t="inlineStr">
        <is>
          <t>Colectores de Água</t>
        </is>
      </c>
      <c r="F14" s="77" t="n"/>
      <c r="G14" s="84" t="inlineStr">
        <is>
          <t>Comprimidos p/ Enjoo</t>
        </is>
      </c>
      <c r="I14" s="78" t="n"/>
      <c r="J14" s="79" t="n"/>
      <c r="O14" s="74" t="inlineStr">
        <is>
          <t> </t>
        </is>
      </c>
    </row>
    <row r="15" ht="23.4" customHeight="1">
      <c r="B15" s="63" t="inlineStr">
        <is>
          <t>Aerial Outlet</t>
        </is>
      </c>
      <c r="C15" s="78" t="n"/>
      <c r="D15" s="63" t="inlineStr">
        <is>
          <t>Water Collectors</t>
        </is>
      </c>
      <c r="F15" s="77" t="n"/>
      <c r="G15" s="61" t="inlineStr">
        <is>
          <t>Seasickness Tables</t>
        </is>
      </c>
      <c r="H15" s="81" t="n"/>
      <c r="I15" s="82" t="n"/>
      <c r="J15" s="83" t="n"/>
    </row>
    <row r="16" ht="23.4" customFormat="1" customHeight="1" s="74">
      <c r="B16" s="59" t="inlineStr">
        <is>
          <t>Reflectores</t>
        </is>
      </c>
      <c r="C16" s="71" t="n"/>
      <c r="D16" s="59" t="inlineStr">
        <is>
          <t>Manual de Instruções</t>
        </is>
      </c>
      <c r="E16" s="70" t="n"/>
      <c r="F16" s="71" t="n"/>
      <c r="G16" s="59" t="inlineStr">
        <is>
          <t>Foguetões Paraquedas</t>
        </is>
      </c>
      <c r="H16" s="70" t="n"/>
      <c r="I16" s="72" t="n"/>
      <c r="J16" s="73" t="n"/>
    </row>
    <row r="17" ht="23.4" customHeight="1">
      <c r="B17" s="61" t="inlineStr">
        <is>
          <t>Reflective Tape</t>
        </is>
      </c>
      <c r="C17" s="80" t="n"/>
      <c r="D17" s="61" t="inlineStr">
        <is>
          <t>Instructions Manual</t>
        </is>
      </c>
      <c r="E17" s="81" t="n"/>
      <c r="F17" s="80" t="n"/>
      <c r="G17" s="61" t="inlineStr">
        <is>
          <t>Parachute Rockets</t>
        </is>
      </c>
      <c r="H17" s="81" t="n"/>
      <c r="I17" s="82" t="n"/>
      <c r="J17" s="83" t="n"/>
    </row>
    <row r="18" ht="23.4" customFormat="1" customHeight="1" s="74">
      <c r="B18" s="84" t="inlineStr">
        <is>
          <t>Tubo de Identificação</t>
        </is>
      </c>
      <c r="C18" s="78" t="n"/>
      <c r="D18" s="84" t="inlineStr">
        <is>
          <t>Tecido de Câmara e Fundo</t>
        </is>
      </c>
      <c r="F18" s="77" t="n"/>
      <c r="G18" s="59" t="inlineStr">
        <is>
          <t>Fachos de Mão</t>
        </is>
      </c>
      <c r="H18" s="70" t="n"/>
      <c r="I18" s="72" t="n"/>
      <c r="J18" s="85" t="n"/>
    </row>
    <row r="19" ht="23.4" customHeight="1">
      <c r="B19" s="63" t="inlineStr">
        <is>
          <t>Identificatior card / tube</t>
        </is>
      </c>
      <c r="C19" s="78" t="n"/>
      <c r="D19" s="63" t="inlineStr">
        <is>
          <t>Tubes and Floor Fabric</t>
        </is>
      </c>
      <c r="F19" s="77" t="n"/>
      <c r="G19" s="61" t="inlineStr">
        <is>
          <t>Handflares</t>
        </is>
      </c>
      <c r="H19" s="81" t="n"/>
      <c r="I19" s="82" t="n"/>
      <c r="J19" s="83" t="inlineStr">
        <is>
          <t>08/2027</t>
        </is>
      </c>
    </row>
    <row r="20" ht="23.4" customFormat="1" customHeight="1" s="74">
      <c r="B20" s="59" t="inlineStr">
        <is>
          <t>Protectores de Juntas</t>
        </is>
      </c>
      <c r="C20" s="71" t="n"/>
      <c r="D20" s="59" t="inlineStr">
        <is>
          <t>Fecho do Saco de Emergência</t>
        </is>
      </c>
      <c r="E20" s="70" t="n"/>
      <c r="F20" s="71" t="n"/>
      <c r="G20" s="59" t="inlineStr">
        <is>
          <t>Potes de Fumo</t>
        </is>
      </c>
      <c r="H20" s="70" t="n"/>
      <c r="I20" s="72" t="n"/>
      <c r="J20" s="73" t="n"/>
    </row>
    <row r="21" ht="23.4" customHeight="1">
      <c r="B21" s="61" t="inlineStr">
        <is>
          <t>Seam Protecting Tapes</t>
        </is>
      </c>
      <c r="C21" s="80" t="n"/>
      <c r="D21" s="61" t="inlineStr">
        <is>
          <t>Fastening for Emergency Pack</t>
        </is>
      </c>
      <c r="E21" s="81" t="n"/>
      <c r="F21" s="80" t="n"/>
      <c r="G21" s="61" t="inlineStr">
        <is>
          <t>Smoke Signals</t>
        </is>
      </c>
      <c r="H21" s="81" t="n"/>
      <c r="I21" s="82" t="n"/>
      <c r="J21" s="83" t="n"/>
    </row>
    <row r="22" ht="23.4" customFormat="1" customHeight="1" s="74">
      <c r="B22" s="84" t="inlineStr">
        <is>
          <t>Câmara e Fundo</t>
        </is>
      </c>
      <c r="C22" s="78" t="n"/>
      <c r="D22" s="84" t="inlineStr">
        <is>
          <t>Luz Interior e Bateria</t>
        </is>
      </c>
      <c r="F22" s="77" t="n"/>
      <c r="G22" s="74" t="inlineStr">
        <is>
          <t>Lanterna</t>
        </is>
      </c>
      <c r="I22" s="78" t="n"/>
      <c r="J22" s="79" t="n"/>
    </row>
    <row r="23" ht="23.4" customHeight="1">
      <c r="B23" s="63" t="inlineStr">
        <is>
          <t>Buoyancy Tubes and Floor</t>
        </is>
      </c>
      <c r="C23" s="78" t="n"/>
      <c r="D23" s="63" t="inlineStr">
        <is>
          <t>Inside Light and Battery</t>
        </is>
      </c>
      <c r="F23" s="83" t="inlineStr">
        <is>
          <t>04/2026</t>
        </is>
      </c>
      <c r="G23" s="81" t="inlineStr">
        <is>
          <t>Torch with Spares</t>
        </is>
      </c>
      <c r="H23" s="81" t="n"/>
      <c r="I23" s="86" t="n"/>
      <c r="J23" s="87" t="n"/>
    </row>
    <row r="24" ht="23.4" customFormat="1" customHeight="1" s="74">
      <c r="B24" s="59" t="inlineStr">
        <is>
          <t>Sistema de Endireitar</t>
        </is>
      </c>
      <c r="C24" s="71" t="n"/>
      <c r="D24" s="59" t="inlineStr">
        <is>
          <t>Bateria de Lítio</t>
        </is>
      </c>
      <c r="E24" s="70" t="n"/>
      <c r="F24" s="71" t="n"/>
      <c r="G24" s="59" t="inlineStr">
        <is>
          <t>Pilhas para Lanterna</t>
        </is>
      </c>
      <c r="H24" s="70" t="n"/>
      <c r="I24" s="72" t="n"/>
      <c r="J24" s="73" t="n"/>
    </row>
    <row r="25" ht="23.4" customHeight="1">
      <c r="B25" s="61" t="inlineStr">
        <is>
          <t>Righting System</t>
        </is>
      </c>
      <c r="C25" s="80" t="n"/>
      <c r="D25" s="61" t="inlineStr">
        <is>
          <t>Lithium Battery</t>
        </is>
      </c>
      <c r="E25" s="81" t="n"/>
      <c r="F25" s="83" t="n"/>
      <c r="G25" s="61" t="inlineStr">
        <is>
          <t>Torch Batteries</t>
        </is>
      </c>
      <c r="H25" s="81" t="n"/>
      <c r="I25" s="82" t="n"/>
      <c r="J25" s="83" t="inlineStr">
        <is>
          <t>(4)</t>
        </is>
      </c>
    </row>
    <row r="26" ht="23.4" customFormat="1" customHeight="1" s="74">
      <c r="B26" s="59" t="inlineStr">
        <is>
          <t>Bolsas de Estabilização</t>
        </is>
      </c>
      <c r="C26" s="71" t="n"/>
      <c r="D26" s="74" t="inlineStr">
        <is>
          <t>Válvulas de Insuflação</t>
        </is>
      </c>
      <c r="F26" s="77" t="n"/>
      <c r="G26" s="84" t="inlineStr">
        <is>
          <t>Apito</t>
        </is>
      </c>
      <c r="I26" s="78" t="n"/>
      <c r="J26" s="79" t="n"/>
    </row>
    <row r="27" ht="23.4" customHeight="1">
      <c r="B27" s="61" t="inlineStr">
        <is>
          <t>Stabilizing Pockets</t>
        </is>
      </c>
      <c r="C27" s="80" t="n"/>
      <c r="D27" s="55" t="inlineStr">
        <is>
          <t>Inflation Valves</t>
        </is>
      </c>
      <c r="F27" s="77" t="n"/>
      <c r="G27" s="61" t="inlineStr">
        <is>
          <t>Whistle</t>
        </is>
      </c>
      <c r="H27" s="81" t="n"/>
      <c r="I27" s="86" t="n"/>
      <c r="J27" s="88" t="n"/>
    </row>
    <row r="28" ht="23.4" customFormat="1" customHeight="1" s="74">
      <c r="B28" s="59" t="inlineStr">
        <is>
          <t>Luz Exterior e Bateria</t>
        </is>
      </c>
      <c r="C28" s="71" t="n"/>
      <c r="D28" s="70" t="inlineStr">
        <is>
          <t>Válvulas de Atestar</t>
        </is>
      </c>
      <c r="E28" s="70" t="n"/>
      <c r="F28" s="71" t="n"/>
      <c r="G28" s="59" t="inlineStr">
        <is>
          <t>Estojo de Pesca</t>
        </is>
      </c>
      <c r="H28" s="70" t="n"/>
      <c r="I28" s="72" t="n"/>
      <c r="J28" s="73" t="n"/>
    </row>
    <row r="29" ht="23.4" customHeight="1">
      <c r="B29" s="61" t="inlineStr">
        <is>
          <t>Top Light and Battery</t>
        </is>
      </c>
      <c r="C29" s="83" t="inlineStr">
        <is>
          <t>04/2026</t>
        </is>
      </c>
      <c r="D29" s="81" t="inlineStr">
        <is>
          <t>Topping Up Valves</t>
        </is>
      </c>
      <c r="E29" s="81" t="n"/>
      <c r="F29" s="80" t="n"/>
      <c r="G29" s="61" t="inlineStr">
        <is>
          <t>Fishing Kit</t>
        </is>
      </c>
      <c r="H29" s="81" t="n"/>
      <c r="I29" s="86" t="n"/>
      <c r="J29" s="88" t="n"/>
    </row>
    <row r="30" ht="23.4" customFormat="1" customHeight="1" s="74">
      <c r="B30" s="59" t="inlineStr">
        <is>
          <t>Bateria Activada</t>
        </is>
      </c>
      <c r="C30" s="71" t="n"/>
      <c r="D30" s="84" t="inlineStr">
        <is>
          <t>Suporte de Antena</t>
        </is>
      </c>
      <c r="F30" s="77" t="n"/>
      <c r="G30" s="59" t="inlineStr">
        <is>
          <t>Esponjas</t>
        </is>
      </c>
      <c r="H30" s="70" t="n"/>
      <c r="I30" s="72" t="n"/>
      <c r="J30" s="73" t="n"/>
    </row>
    <row r="31" ht="23.4" customHeight="1">
      <c r="B31" s="61" t="inlineStr">
        <is>
          <t>Seacell Battery</t>
        </is>
      </c>
      <c r="C31" s="83" t="n"/>
      <c r="D31" s="63" t="inlineStr">
        <is>
          <t>Aerial Support</t>
        </is>
      </c>
      <c r="F31" s="77" t="n"/>
      <c r="G31" s="61" t="inlineStr">
        <is>
          <t>Sponges</t>
        </is>
      </c>
      <c r="H31" s="81" t="n"/>
      <c r="I31" s="86" t="n"/>
      <c r="J31" s="88" t="n"/>
    </row>
    <row r="32" ht="23.4" customFormat="1" customHeight="1" s="74">
      <c r="B32" s="84" t="inlineStr">
        <is>
          <t>Rampa ou Escada</t>
        </is>
      </c>
      <c r="C32" s="77" t="n"/>
      <c r="D32" s="59" t="inlineStr">
        <is>
          <t>Arco e Cinta de Remate</t>
        </is>
      </c>
      <c r="E32" s="70" t="n"/>
      <c r="F32" s="71" t="n"/>
      <c r="G32" s="59" t="inlineStr">
        <is>
          <t>Abre-Latas</t>
        </is>
      </c>
      <c r="H32" s="70" t="n"/>
      <c r="I32" s="72" t="n"/>
      <c r="J32" s="73" t="n"/>
    </row>
    <row r="33" ht="23.4" customHeight="1">
      <c r="B33" s="61" t="inlineStr">
        <is>
          <t>Boarding Ramp or Ladder</t>
        </is>
      </c>
      <c r="C33" s="80" t="n"/>
      <c r="D33" s="61" t="inlineStr">
        <is>
          <t>Arch and Rubber Band</t>
        </is>
      </c>
      <c r="E33" s="81" t="n"/>
      <c r="F33" s="80" t="n"/>
      <c r="G33" s="61" t="inlineStr">
        <is>
          <t>Tin Openers</t>
        </is>
      </c>
      <c r="H33" s="81" t="n"/>
      <c r="I33" s="86" t="n"/>
      <c r="J33" s="88" t="n"/>
    </row>
    <row r="34" ht="23.4" customFormat="1" customHeight="1" s="74">
      <c r="B34" s="84" t="inlineStr">
        <is>
          <t>Válvulas Segurança e Tampões</t>
        </is>
      </c>
      <c r="C34" s="78" t="n"/>
      <c r="D34" s="89" t="inlineStr">
        <is>
          <t>ÍNVOLUCRO</t>
        </is>
      </c>
      <c r="E34" s="90" t="n"/>
      <c r="F34" s="91" t="n"/>
      <c r="G34" s="59" t="inlineStr">
        <is>
          <t>Tesouras</t>
        </is>
      </c>
      <c r="H34" s="70" t="n"/>
      <c r="I34" s="72" t="n"/>
      <c r="J34" s="73" t="n"/>
    </row>
    <row r="35" ht="23.4" customHeight="1">
      <c r="B35" s="63" t="inlineStr">
        <is>
          <t>Relief Valves and Stoppers</t>
        </is>
      </c>
      <c r="C35" s="92" t="inlineStr">
        <is>
          <t xml:space="preserve">OTS65  </t>
        </is>
      </c>
      <c r="D35" s="75" t="inlineStr">
        <is>
          <t>CONTAINER</t>
        </is>
      </c>
      <c r="E35" s="93" t="n"/>
      <c r="F35" s="94" t="n"/>
      <c r="G35" s="61" t="inlineStr">
        <is>
          <t>Scissors</t>
        </is>
      </c>
      <c r="H35" s="81" t="n"/>
      <c r="I35" s="86" t="n"/>
      <c r="J35" s="88" t="n"/>
    </row>
    <row r="36" ht="23.4" customFormat="1" customHeight="1" s="74">
      <c r="B36" s="59" t="inlineStr">
        <is>
          <t>União Banjo - Câmara Superior</t>
        </is>
      </c>
      <c r="C36" s="71" t="n"/>
      <c r="D36" s="59" t="inlineStr">
        <is>
          <t>Cinta de Fecho</t>
        </is>
      </c>
      <c r="E36" s="70" t="n"/>
      <c r="F36" s="71" t="n"/>
      <c r="G36" s="70" t="inlineStr">
        <is>
          <t>Sacos para Enjoo</t>
        </is>
      </c>
      <c r="H36" s="70" t="n"/>
      <c r="I36" s="72" t="n"/>
      <c r="J36" s="73" t="n"/>
    </row>
    <row r="37" ht="23.4" customHeight="1">
      <c r="B37" s="61" t="inlineStr">
        <is>
          <t>Banjo Bolt - Lower Tube</t>
        </is>
      </c>
      <c r="C37" s="80" t="n"/>
      <c r="D37" s="61" t="inlineStr">
        <is>
          <t>Bursting Band / Tape</t>
        </is>
      </c>
      <c r="E37" s="81" t="n"/>
      <c r="F37" s="83" t="inlineStr">
        <is>
          <t>(4)</t>
        </is>
      </c>
      <c r="G37" s="81" t="inlineStr">
        <is>
          <t>Seasickness Bags</t>
        </is>
      </c>
      <c r="H37" s="81" t="n"/>
      <c r="I37" s="86" t="n"/>
      <c r="J37" s="88" t="n"/>
    </row>
    <row r="38" ht="23.4" customFormat="1" customHeight="1" s="74">
      <c r="B38" s="84" t="inlineStr">
        <is>
          <t>União Banjo - Câmara Inferior</t>
        </is>
      </c>
      <c r="C38" s="78" t="n"/>
      <c r="D38" s="84" t="inlineStr">
        <is>
          <t>Saco de Retenida</t>
        </is>
      </c>
      <c r="F38" s="77" t="n"/>
      <c r="G38" s="59" t="inlineStr">
        <is>
          <t>Heliógrafo</t>
        </is>
      </c>
      <c r="H38" s="70" t="n"/>
      <c r="I38" s="72" t="n"/>
      <c r="J38" s="73" t="n"/>
    </row>
    <row r="39" ht="23.4" customHeight="1">
      <c r="B39" s="63" t="inlineStr">
        <is>
          <t>Banjo Bolt - Lower Tube</t>
        </is>
      </c>
      <c r="C39" s="78" t="n"/>
      <c r="D39" s="63" t="inlineStr">
        <is>
          <t>Painter Line Bag</t>
        </is>
      </c>
      <c r="F39" s="77" t="n"/>
      <c r="G39" s="61" t="inlineStr">
        <is>
          <t>Signalling Mirror</t>
        </is>
      </c>
      <c r="H39" s="81" t="n"/>
      <c r="I39" s="86" t="n"/>
      <c r="J39" s="88" t="n"/>
    </row>
    <row r="40" ht="23.4" customFormat="1" customHeight="1" s="74">
      <c r="B40" s="59" t="inlineStr">
        <is>
          <t>Grinalda e Espelhos</t>
        </is>
      </c>
      <c r="C40" s="71" t="n"/>
      <c r="D40" s="59" t="inlineStr">
        <is>
          <t>Comprimento da Retenida</t>
        </is>
      </c>
      <c r="E40" s="70" t="n"/>
      <c r="F40" s="71" t="n"/>
      <c r="G40" s="70" t="inlineStr">
        <is>
          <t>Manual de Sobrevivência</t>
        </is>
      </c>
      <c r="H40" s="70" t="n"/>
      <c r="I40" s="72" t="n"/>
      <c r="J40" s="73" t="n"/>
    </row>
    <row r="41" ht="23.4" customHeight="1">
      <c r="B41" s="61" t="inlineStr">
        <is>
          <t>Grabline and Patches</t>
        </is>
      </c>
      <c r="C41" s="80" t="n"/>
      <c r="D41" s="61" t="inlineStr">
        <is>
          <t>Leght Painter Line</t>
        </is>
      </c>
      <c r="E41" s="81" t="n"/>
      <c r="F41" s="95" t="inlineStr">
        <is>
          <t>18 MT</t>
        </is>
      </c>
      <c r="G41" s="81" t="inlineStr">
        <is>
          <t>Survival Manual</t>
        </is>
      </c>
      <c r="H41" s="81" t="n"/>
      <c r="I41" s="86" t="n"/>
      <c r="J41" s="88" t="n"/>
    </row>
    <row r="42" ht="23.4" customFormat="1" customHeight="1" s="74">
      <c r="B42" s="59" t="inlineStr">
        <is>
          <t>Alça da Retenida e Espelhos</t>
        </is>
      </c>
      <c r="C42" s="71" t="n"/>
      <c r="D42" s="74" t="inlineStr">
        <is>
          <t>Marcas do Invólucro</t>
        </is>
      </c>
      <c r="F42" s="77" t="n"/>
      <c r="G42" s="59" t="inlineStr">
        <is>
          <t>Quadro de Sinais</t>
        </is>
      </c>
      <c r="H42" s="70" t="n"/>
      <c r="I42" s="72" t="n"/>
      <c r="J42" s="73" t="n"/>
    </row>
    <row r="43" ht="23.4" customHeight="1">
      <c r="B43" s="61" t="inlineStr">
        <is>
          <t>Crowfoot Bridle and Patches</t>
        </is>
      </c>
      <c r="C43" s="80" t="n"/>
      <c r="D43" s="55" t="inlineStr">
        <is>
          <t>Markings on Container</t>
        </is>
      </c>
      <c r="F43" s="77" t="n"/>
      <c r="G43" s="61" t="inlineStr">
        <is>
          <t>Signalling Table</t>
        </is>
      </c>
      <c r="H43" s="81" t="n"/>
      <c r="I43" s="86" t="n"/>
      <c r="J43" s="88" t="n"/>
    </row>
    <row r="44" ht="23.4" customFormat="1" customHeight="1" s="74">
      <c r="B44" s="59" t="inlineStr">
        <is>
          <t>Tubos de Alta Pressão</t>
        </is>
      </c>
      <c r="C44" s="72" t="n"/>
      <c r="D44" s="68" t="inlineStr">
        <is>
          <t>EQUIPAMENTO JANGADA</t>
        </is>
      </c>
      <c r="E44" s="96" t="n"/>
      <c r="F44" s="97" t="n"/>
      <c r="G44" s="68" t="inlineStr">
        <is>
          <t>Res. A761 (18)</t>
        </is>
      </c>
      <c r="H44" s="96" t="n"/>
      <c r="I44" s="98" t="inlineStr">
        <is>
          <t>DATA</t>
        </is>
      </c>
      <c r="J44" s="97" t="n"/>
    </row>
    <row r="45" ht="23.4" customHeight="1">
      <c r="B45" s="61" t="inlineStr">
        <is>
          <t>High Pressure Hoses</t>
        </is>
      </c>
      <c r="C45" s="82" t="n"/>
      <c r="D45" s="99" t="inlineStr">
        <is>
          <t>RAFT EQUIPMENT</t>
        </is>
      </c>
      <c r="E45" s="100" t="n"/>
      <c r="F45" s="101" t="n"/>
      <c r="G45" s="99" t="n"/>
      <c r="H45" s="100" t="n"/>
      <c r="I45" s="93" t="n"/>
      <c r="J45" s="102" t="n"/>
    </row>
    <row r="46" ht="23.4" customFormat="1" customHeight="1" s="74">
      <c r="B46" s="59" t="inlineStr">
        <is>
          <t>Cilindro CO2</t>
        </is>
      </c>
      <c r="C46" s="71" t="n"/>
      <c r="D46" s="84" t="inlineStr">
        <is>
          <t>Tipo de Equipamento</t>
        </is>
      </c>
      <c r="F46" s="77" t="n"/>
      <c r="G46" s="59" t="inlineStr">
        <is>
          <t>NAP - TEST</t>
        </is>
      </c>
      <c r="H46" s="70" t="n"/>
      <c r="I46" s="103" t="n"/>
      <c r="J46" s="73" t="n"/>
    </row>
    <row r="47" ht="23.4" customHeight="1">
      <c r="B47" s="61" t="inlineStr">
        <is>
          <t>Cylinder CO2</t>
        </is>
      </c>
      <c r="C47" s="83" t="n"/>
      <c r="D47" s="61" t="inlineStr">
        <is>
          <t>Emergency Pack Type</t>
        </is>
      </c>
      <c r="E47" s="81" t="n"/>
      <c r="F47" s="104" t="inlineStr">
        <is>
          <t>E</t>
        </is>
      </c>
      <c r="G47" s="61" t="n"/>
      <c r="H47" s="81" t="n"/>
      <c r="I47" s="105" t="n"/>
      <c r="J47" s="106" t="inlineStr">
        <is>
          <t>03/25</t>
        </is>
      </c>
    </row>
    <row r="48" ht="23.4" customFormat="1" customHeight="1" s="74">
      <c r="B48" s="59" t="inlineStr">
        <is>
          <t>Cabeça de Disparo</t>
        </is>
      </c>
      <c r="C48" s="71" t="n"/>
      <c r="D48" s="84" t="inlineStr">
        <is>
          <t>Pagaias</t>
        </is>
      </c>
      <c r="F48" s="77" t="n"/>
      <c r="G48" s="59" t="inlineStr">
        <is>
          <t>FS - TEST</t>
        </is>
      </c>
      <c r="H48" s="107" t="n"/>
      <c r="I48" s="108" t="n"/>
      <c r="J48" s="79" t="inlineStr">
        <is>
          <t> </t>
        </is>
      </c>
    </row>
    <row r="49" ht="23.4" customHeight="1">
      <c r="B49" s="61" t="inlineStr">
        <is>
          <t>Operating Head</t>
        </is>
      </c>
      <c r="C49" s="83" t="inlineStr">
        <is>
          <t>DK94S</t>
        </is>
      </c>
      <c r="D49" s="61" t="inlineStr">
        <is>
          <t>Paddles</t>
        </is>
      </c>
      <c r="E49" s="81" t="n"/>
      <c r="F49" s="80" t="n"/>
      <c r="G49" s="61" t="n"/>
      <c r="H49" s="109" t="n"/>
      <c r="I49" s="105" t="n"/>
      <c r="J49" s="106" t="inlineStr">
        <is>
          <t>03/25</t>
        </is>
      </c>
    </row>
    <row r="50" ht="23.4" customFormat="1" customHeight="1" s="74">
      <c r="B50" s="84" t="inlineStr">
        <is>
          <t>Cabo de Disparo</t>
        </is>
      </c>
      <c r="C50" s="78" t="n"/>
      <c r="D50" s="59" t="inlineStr">
        <is>
          <t>Fole</t>
        </is>
      </c>
      <c r="E50" s="70" t="n"/>
      <c r="F50" s="71" t="n"/>
      <c r="G50" s="59" t="inlineStr">
        <is>
          <t>GI - TEST</t>
        </is>
      </c>
      <c r="H50" s="107" t="n"/>
      <c r="I50" s="110" t="n"/>
      <c r="J50" s="73" t="inlineStr">
        <is>
          <t> </t>
        </is>
      </c>
    </row>
    <row r="51" ht="23.4" customHeight="1">
      <c r="B51" s="63" t="inlineStr">
        <is>
          <t>Operating Wire</t>
        </is>
      </c>
      <c r="C51" s="78" t="n"/>
      <c r="D51" s="61" t="inlineStr">
        <is>
          <t>Bellows</t>
        </is>
      </c>
      <c r="E51" s="81" t="n"/>
      <c r="F51" s="80" t="n"/>
      <c r="G51" s="61" t="n"/>
      <c r="H51" s="109" t="n"/>
      <c r="I51" s="105" t="n"/>
      <c r="J51" s="106" t="inlineStr">
        <is>
          <t>03/23</t>
        </is>
      </c>
    </row>
    <row r="52" ht="23.4" customFormat="1" customHeight="1" s="74">
      <c r="B52" s="59" t="inlineStr">
        <is>
          <t>Capa do Sistema de Insuflação</t>
        </is>
      </c>
      <c r="C52" s="72" t="n"/>
      <c r="D52" s="59" t="inlineStr">
        <is>
          <t>Jogo de Reparação</t>
        </is>
      </c>
      <c r="E52" s="70" t="n"/>
      <c r="F52" s="71" t="n"/>
      <c r="G52" s="59" t="inlineStr">
        <is>
          <t>LOAD - TEST</t>
        </is>
      </c>
      <c r="H52" s="107" t="n"/>
      <c r="I52" s="110" t="n"/>
      <c r="J52" s="73" t="inlineStr">
        <is>
          <t> </t>
        </is>
      </c>
    </row>
    <row r="53" ht="23.4" customHeight="1">
      <c r="B53" s="61" t="inlineStr">
        <is>
          <t>Cover for Inflation System</t>
        </is>
      </c>
      <c r="C53" s="86" t="n"/>
      <c r="D53" s="61" t="inlineStr">
        <is>
          <t>Repar Kit</t>
        </is>
      </c>
      <c r="E53" s="81" t="n"/>
      <c r="F53" s="83" t="inlineStr">
        <is>
          <t>(1)</t>
        </is>
      </c>
      <c r="G53" s="63" t="n"/>
      <c r="H53" s="111" t="n"/>
      <c r="I53" s="105" t="n"/>
      <c r="J53" s="106" t="inlineStr">
        <is>
          <t> </t>
        </is>
      </c>
    </row>
    <row r="54" ht="23.4" customFormat="1" customHeight="1" s="74">
      <c r="B54" s="84" t="inlineStr">
        <is>
          <t>Bolsa do Cilindro</t>
        </is>
      </c>
      <c r="C54" s="78" t="n"/>
      <c r="D54" s="84" t="inlineStr">
        <is>
          <t>Âncora Flutuante com Linha</t>
        </is>
      </c>
      <c r="F54" s="78" t="n"/>
      <c r="G54" s="68" t="inlineStr">
        <is>
          <t>CILINDROS CO2</t>
        </is>
      </c>
      <c r="H54" s="96" t="n"/>
      <c r="I54" s="98" t="n"/>
      <c r="J54" s="97" t="n"/>
    </row>
    <row r="55" ht="23.4" customHeight="1">
      <c r="B55" s="63" t="inlineStr">
        <is>
          <t>Cylinder Pocket</t>
        </is>
      </c>
      <c r="C55" s="78" t="n"/>
      <c r="D55" s="63" t="inlineStr">
        <is>
          <t>Sea Anchor with Line</t>
        </is>
      </c>
      <c r="F55" s="78" t="n"/>
      <c r="G55" s="99" t="inlineStr">
        <is>
          <t>CO2 CYLINDERS</t>
        </is>
      </c>
      <c r="H55" s="100" t="n"/>
      <c r="I55" s="112" t="n"/>
      <c r="J55" s="101" t="n"/>
    </row>
    <row r="56" ht="23.4" customFormat="1" customHeight="1" s="74">
      <c r="B56" s="68" t="inlineStr">
        <is>
          <t>JANGADA - INTERIOR</t>
        </is>
      </c>
      <c r="C56" s="113" t="n"/>
      <c r="D56" s="59" t="inlineStr">
        <is>
          <t>Batedouro</t>
        </is>
      </c>
      <c r="E56" s="70" t="n"/>
      <c r="F56" s="71" t="n"/>
      <c r="G56" s="347" t="inlineStr">
        <is>
          <t>Cil. Nº:</t>
        </is>
      </c>
      <c r="H56" s="336" t="n"/>
      <c r="I56" s="261" t="inlineStr">
        <is>
          <t>12D081185</t>
        </is>
      </c>
      <c r="J56" s="297" t="n"/>
      <c r="M56" s="137" t="n"/>
    </row>
    <row r="57" ht="23.4" customHeight="1">
      <c r="B57" s="99" t="inlineStr">
        <is>
          <t>LIFERAFT - INTERNAL</t>
        </is>
      </c>
      <c r="C57" s="114" t="n"/>
      <c r="D57" s="61" t="inlineStr">
        <is>
          <t>Bailer</t>
        </is>
      </c>
      <c r="E57" s="81" t="n"/>
      <c r="F57" s="80" t="n"/>
      <c r="G57" s="348" t="inlineStr">
        <is>
          <t>Cyl. No.</t>
        </is>
      </c>
      <c r="H57" s="339" t="n"/>
      <c r="I57" s="346" t="n"/>
      <c r="J57" s="346" t="n"/>
    </row>
    <row r="58" ht="23.4" customFormat="1" customHeight="1" s="74">
      <c r="B58" s="84" t="inlineStr">
        <is>
          <t>Escada de Entrada</t>
        </is>
      </c>
      <c r="C58" s="78" t="n"/>
      <c r="D58" s="59" t="inlineStr">
        <is>
          <t>Reflector de Radar</t>
        </is>
      </c>
      <c r="E58" s="70" t="n"/>
      <c r="F58" s="71" t="n"/>
      <c r="G58" s="349" t="inlineStr">
        <is>
          <t>Peso Bruto</t>
        </is>
      </c>
      <c r="H58" s="341" t="n"/>
      <c r="I58" s="350" t="inlineStr">
        <is>
          <t>30,993</t>
        </is>
      </c>
      <c r="J58" s="351" t="n"/>
    </row>
    <row r="59" ht="23.4" customHeight="1">
      <c r="B59" s="63" t="inlineStr">
        <is>
          <t>Entrance Ladder</t>
        </is>
      </c>
      <c r="C59" s="78" t="n"/>
      <c r="D59" s="61" t="inlineStr">
        <is>
          <t>Radar Reflector</t>
        </is>
      </c>
      <c r="E59" s="81" t="n"/>
      <c r="F59" s="115" t="n"/>
      <c r="G59" s="348" t="inlineStr">
        <is>
          <t>Gross Weight</t>
        </is>
      </c>
      <c r="H59" s="339" t="n"/>
      <c r="I59" s="346" t="n"/>
      <c r="J59" s="346" t="n"/>
    </row>
    <row r="60" ht="23.4" customFormat="1" customHeight="1" s="74">
      <c r="B60" s="59" t="inlineStr">
        <is>
          <t>Grinalda Interior</t>
        </is>
      </c>
      <c r="C60" s="71" t="n"/>
      <c r="D60" s="89" t="inlineStr">
        <is>
          <t>EQUIP. DE EMERGÊNCIA</t>
        </is>
      </c>
      <c r="E60" s="90" t="n"/>
      <c r="F60" s="91" t="n"/>
      <c r="G60" s="349" t="inlineStr">
        <is>
          <t>Tara</t>
        </is>
      </c>
      <c r="H60" s="341" t="n"/>
      <c r="I60" s="350" t="inlineStr">
        <is>
          <t>19,395</t>
        </is>
      </c>
      <c r="J60" s="351" t="n"/>
      <c r="M60" s="137" t="n"/>
    </row>
    <row r="61" ht="23.4" customHeight="1">
      <c r="B61" s="61" t="inlineStr">
        <is>
          <t>Grabline Internal</t>
        </is>
      </c>
      <c r="C61" s="80" t="n"/>
      <c r="D61" s="99" t="inlineStr">
        <is>
          <t>Emergency Pack</t>
        </is>
      </c>
      <c r="E61" s="112" t="n"/>
      <c r="F61" s="114" t="n"/>
      <c r="G61" s="348" t="inlineStr">
        <is>
          <t>Tare</t>
        </is>
      </c>
      <c r="H61" s="339" t="n"/>
      <c r="I61" s="346" t="n"/>
      <c r="J61" s="346" t="n"/>
    </row>
    <row r="62" ht="23.4" customFormat="1" customHeight="1" s="74">
      <c r="B62" s="84" t="inlineStr">
        <is>
          <t>Anel com Linha</t>
        </is>
      </c>
      <c r="C62" s="78" t="n"/>
      <c r="D62" s="59" t="inlineStr">
        <is>
          <t>Saco de Água</t>
        </is>
      </c>
      <c r="E62" s="70" t="n"/>
      <c r="F62" s="71" t="n"/>
      <c r="G62" s="259" t="inlineStr">
        <is>
          <t>Carga CO2</t>
        </is>
      </c>
      <c r="H62" s="341" t="n"/>
      <c r="I62" s="352" t="n">
        <v>11.26</v>
      </c>
      <c r="J62" s="353" t="n"/>
    </row>
    <row r="63" ht="23.4" customHeight="1">
      <c r="B63" s="63" t="inlineStr">
        <is>
          <t>Quoit with Line</t>
        </is>
      </c>
      <c r="C63" s="80" t="n"/>
      <c r="D63" s="61" t="inlineStr">
        <is>
          <t>Water Sachets</t>
        </is>
      </c>
      <c r="E63" s="81" t="n"/>
      <c r="F63" s="83" t="n"/>
      <c r="G63" s="265" t="inlineStr">
        <is>
          <t>CO2 Charge</t>
        </is>
      </c>
      <c r="H63" s="339" t="n"/>
      <c r="I63" s="346" t="n"/>
      <c r="J63" s="346" t="n"/>
    </row>
    <row r="64" ht="23.4" customHeight="1">
      <c r="A64" s="74" t="n"/>
      <c r="B64" s="59" t="inlineStr">
        <is>
          <t>Facas de Segurança</t>
        </is>
      </c>
      <c r="C64" s="78" t="n"/>
      <c r="D64" s="59" t="inlineStr">
        <is>
          <t>Copo Graduado</t>
        </is>
      </c>
      <c r="E64" s="116" t="n"/>
      <c r="F64" s="71" t="n"/>
      <c r="G64" s="349" t="inlineStr">
        <is>
          <t>Carga N2</t>
        </is>
      </c>
      <c r="H64" s="341" t="n"/>
      <c r="I64" s="350" t="inlineStr">
        <is>
          <t>0,360</t>
        </is>
      </c>
      <c r="J64" s="351" t="n"/>
      <c r="K64" s="74" t="n"/>
    </row>
    <row r="65" ht="23.4" customHeight="1">
      <c r="B65" s="63" t="inlineStr">
        <is>
          <t>Safety Knifes</t>
        </is>
      </c>
      <c r="C65" s="77" t="n"/>
      <c r="D65" s="61" t="inlineStr">
        <is>
          <t>Drinking Cup</t>
        </is>
      </c>
      <c r="E65" s="81" t="n"/>
      <c r="F65" s="109" t="n"/>
      <c r="G65" s="348" t="inlineStr">
        <is>
          <t>N2 Charge</t>
        </is>
      </c>
      <c r="H65" s="339" t="n"/>
      <c r="I65" s="346" t="n"/>
      <c r="J65" s="346" t="n"/>
    </row>
    <row r="66" ht="23.4" customHeight="1">
      <c r="B66" s="59" t="inlineStr">
        <is>
          <t>Cobertura Interior</t>
        </is>
      </c>
      <c r="C66" s="71" t="n"/>
      <c r="D66" s="59" t="inlineStr">
        <is>
          <t>Rações Alimentares 0,5 Kg</t>
        </is>
      </c>
      <c r="E66" s="116" t="n"/>
      <c r="F66" s="71" t="n"/>
      <c r="G66" s="259" t="inlineStr">
        <is>
          <t>Teste Hid.</t>
        </is>
      </c>
      <c r="H66" s="341" t="n"/>
      <c r="I66" s="350" t="inlineStr">
        <is>
          <t>03/23</t>
        </is>
      </c>
      <c r="J66" s="351" t="n"/>
    </row>
    <row r="67" ht="23.4" customHeight="1">
      <c r="B67" s="61" t="inlineStr">
        <is>
          <t>Canopy Internal</t>
        </is>
      </c>
      <c r="C67" s="80" t="n"/>
      <c r="D67" s="61" t="inlineStr">
        <is>
          <t>Food Rations 0,5 Kg</t>
        </is>
      </c>
      <c r="E67" s="81" t="n"/>
      <c r="F67" s="83" t="n"/>
      <c r="G67" s="265" t="inlineStr">
        <is>
          <t>Hyd. Test</t>
        </is>
      </c>
      <c r="H67" s="339" t="n"/>
      <c r="I67" s="346" t="n"/>
      <c r="J67" s="346" t="n"/>
    </row>
    <row r="68" ht="5.25" customHeight="1">
      <c r="B68" s="354" t="n"/>
      <c r="C68" s="324" t="n"/>
      <c r="D68" s="324" t="n"/>
      <c r="E68" s="324" t="n"/>
      <c r="F68" s="324" t="n"/>
      <c r="G68" s="324" t="n"/>
      <c r="H68" s="324" t="n"/>
      <c r="I68" s="324" t="n"/>
      <c r="J68" s="341" t="n"/>
    </row>
    <row r="69" ht="21" customHeight="1">
      <c r="B69" s="355" t="inlineStr">
        <is>
          <t>ENSAIOS DE PRESSÃO Pressure Tests</t>
        </is>
      </c>
      <c r="C69" s="117" t="inlineStr">
        <is>
          <t>Unidade Pressão</t>
        </is>
      </c>
      <c r="D69" s="356" t="inlineStr">
        <is>
          <t xml:space="preserve">inH2O [x ] inHg [   ] mbar [  ] </t>
        </is>
      </c>
      <c r="E69" s="341" t="n"/>
      <c r="F69" s="118" t="inlineStr">
        <is>
          <t>Temp. Atmosférica</t>
        </is>
      </c>
      <c r="G69" s="119" t="inlineStr">
        <is>
          <t>Inicial</t>
        </is>
      </c>
      <c r="H69" s="357" t="inlineStr">
        <is>
          <t>17 Cº</t>
        </is>
      </c>
      <c r="I69" s="119" t="inlineStr">
        <is>
          <t>Final</t>
        </is>
      </c>
      <c r="J69" s="358" t="inlineStr">
        <is>
          <t>17 Cº</t>
        </is>
      </c>
    </row>
    <row r="70" ht="21.6" customHeight="1">
      <c r="B70" s="359" t="n"/>
      <c r="C70" s="120" t="inlineStr">
        <is>
          <t>Pressure Unit</t>
        </is>
      </c>
      <c r="D70" s="338" t="n"/>
      <c r="E70" s="339" t="n"/>
      <c r="F70" s="121" t="inlineStr">
        <is>
          <t>Atm. Temperature</t>
        </is>
      </c>
      <c r="G70" s="122" t="inlineStr">
        <is>
          <t>Star</t>
        </is>
      </c>
      <c r="H70" s="342" t="n"/>
      <c r="I70" s="122" t="inlineStr">
        <is>
          <t>End</t>
        </is>
      </c>
      <c r="J70" s="346" t="n"/>
    </row>
    <row r="71" ht="21" customHeight="1">
      <c r="B71" s="359" t="n"/>
      <c r="C71" s="123" t="inlineStr">
        <is>
          <t>Início / Star</t>
        </is>
      </c>
      <c r="D71" s="124" t="inlineStr">
        <is>
          <t>Final / Off</t>
        </is>
      </c>
      <c r="E71" s="117" t="inlineStr">
        <is>
          <t>Queda &lt; 5%</t>
        </is>
      </c>
      <c r="F71" s="118" t="inlineStr">
        <is>
          <t>Pre. Atmosférica</t>
        </is>
      </c>
      <c r="G71" s="119" t="inlineStr">
        <is>
          <t>Inicial</t>
        </is>
      </c>
      <c r="H71" s="357" t="inlineStr">
        <is>
          <t>1010 Hpa</t>
        </is>
      </c>
      <c r="I71" s="119" t="inlineStr">
        <is>
          <t>Final</t>
        </is>
      </c>
      <c r="J71" s="357" t="inlineStr">
        <is>
          <t>1010 Hpa</t>
        </is>
      </c>
    </row>
    <row r="72" ht="42" customHeight="1">
      <c r="B72" s="342" t="n"/>
      <c r="C72" s="125" t="n">
        <v>0.625</v>
      </c>
      <c r="D72" s="125" t="n">
        <v>0.6666666666666666</v>
      </c>
      <c r="E72" s="126" t="inlineStr">
        <is>
          <t>Drop</t>
        </is>
      </c>
      <c r="F72" s="121" t="inlineStr">
        <is>
          <t>Atm. Pressure</t>
        </is>
      </c>
      <c r="G72" s="127" t="inlineStr">
        <is>
          <t>Star</t>
        </is>
      </c>
      <c r="H72" s="342" t="n"/>
      <c r="I72" s="127" t="inlineStr">
        <is>
          <t>End</t>
        </is>
      </c>
      <c r="J72" s="342" t="n"/>
    </row>
    <row r="73" ht="21.6" customHeight="1">
      <c r="B73" s="128" t="inlineStr">
        <is>
          <t>Câmara Superior + Arco</t>
        </is>
      </c>
      <c r="C73" s="360" t="n">
        <v>91.2</v>
      </c>
      <c r="D73" s="360" t="n">
        <v>90.40000000000001</v>
      </c>
      <c r="E73" s="361" t="inlineStr">
        <is>
          <t>OK</t>
        </is>
      </c>
      <c r="F73" s="362" t="inlineStr">
        <is>
          <t>Notas                                                                 Remarks</t>
        </is>
      </c>
      <c r="G73" s="363" t="n"/>
      <c r="H73" s="324" t="n"/>
      <c r="I73" s="324" t="n"/>
      <c r="J73" s="341" t="n"/>
    </row>
    <row r="74" ht="21.6" customHeight="1">
      <c r="B74" s="129" t="inlineStr">
        <is>
          <t>Upper Tube + Arch</t>
        </is>
      </c>
      <c r="C74" s="342" t="n"/>
      <c r="D74" s="342" t="n"/>
      <c r="E74" s="339" t="n"/>
      <c r="F74" s="364" t="n"/>
      <c r="G74" s="337" t="n"/>
      <c r="J74" s="336" t="n"/>
    </row>
    <row r="75" ht="21.6" customHeight="1">
      <c r="B75" s="128" t="inlineStr">
        <is>
          <t>Câmara Inferior</t>
        </is>
      </c>
      <c r="C75" s="360" t="n">
        <v>92.2</v>
      </c>
      <c r="D75" s="360" t="n">
        <v>91</v>
      </c>
      <c r="E75" s="361" t="inlineStr">
        <is>
          <t>OK</t>
        </is>
      </c>
      <c r="F75" s="364" t="n"/>
      <c r="G75" s="337" t="n"/>
      <c r="J75" s="336" t="n"/>
    </row>
    <row r="76" ht="21.6" customHeight="1">
      <c r="B76" s="129" t="inlineStr">
        <is>
          <t>Lower Tube</t>
        </is>
      </c>
      <c r="C76" s="342" t="n"/>
      <c r="D76" s="342" t="n"/>
      <c r="E76" s="339" t="n"/>
      <c r="F76" s="364" t="n"/>
      <c r="G76" s="337" t="n"/>
      <c r="J76" s="336" t="n"/>
    </row>
    <row r="77" ht="21" customHeight="1">
      <c r="B77" s="128" t="inlineStr">
        <is>
          <t>Fundo (Chão)</t>
        </is>
      </c>
      <c r="C77" s="365" t="n"/>
      <c r="D77" s="365" t="n"/>
      <c r="E77" s="366">
        <f>1-(D77/C77)</f>
        <v/>
      </c>
      <c r="F77" s="364" t="n"/>
      <c r="G77" s="337" t="n"/>
      <c r="J77" s="336" t="n"/>
    </row>
    <row r="78" ht="21" customHeight="1">
      <c r="B78" s="129" t="inlineStr">
        <is>
          <t>Floor</t>
        </is>
      </c>
      <c r="C78" s="342" t="n"/>
      <c r="D78" s="342" t="n"/>
      <c r="E78" s="339" t="n"/>
      <c r="F78" s="346" t="n"/>
      <c r="G78" s="338" t="n"/>
      <c r="H78" s="328" t="n"/>
      <c r="I78" s="328" t="n"/>
      <c r="J78" s="339" t="n"/>
    </row>
    <row r="79" ht="21.6" customFormat="1" customHeight="1" s="74">
      <c r="A79" s="55" t="n"/>
      <c r="B79" s="128" t="inlineStr">
        <is>
          <t xml:space="preserve">Rampa </t>
        </is>
      </c>
      <c r="C79" s="365" t="n"/>
      <c r="D79" s="365" t="n"/>
      <c r="E79" s="366">
        <f>1-(D79/C79)</f>
        <v/>
      </c>
      <c r="F79" s="246" t="inlineStr">
        <is>
          <t>DATA FABRICO:</t>
        </is>
      </c>
      <c r="G79" s="367" t="inlineStr">
        <is>
          <t>01/2013</t>
        </is>
      </c>
      <c r="H79" s="368" t="n"/>
      <c r="I79" s="324" t="n"/>
      <c r="J79" s="341" t="n"/>
      <c r="K79" s="55" t="n"/>
    </row>
    <row r="80" ht="21" customHeight="1">
      <c r="B80" s="129" t="inlineStr">
        <is>
          <t xml:space="preserve">Boarding Ramp </t>
        </is>
      </c>
      <c r="C80" s="342" t="n"/>
      <c r="D80" s="342" t="n"/>
      <c r="E80" s="339" t="n"/>
      <c r="F80" s="131" t="inlineStr">
        <is>
          <t>MANUF. DATE:</t>
        </is>
      </c>
      <c r="G80" s="338" t="n"/>
      <c r="H80" s="338" t="n"/>
      <c r="I80" s="328" t="n"/>
      <c r="J80" s="339" t="n"/>
    </row>
    <row r="81" ht="30" customHeight="1">
      <c r="A81" s="74" t="n"/>
      <c r="B81" s="132" t="inlineStr">
        <is>
          <t>Estação de Serviço:</t>
        </is>
      </c>
      <c r="C81" s="357" t="inlineStr">
        <is>
          <t xml:space="preserve">OREY TÉCNICA </t>
        </is>
      </c>
      <c r="D81" s="341" t="n"/>
      <c r="E81" s="133" t="inlineStr">
        <is>
          <t xml:space="preserve">Data de Insp.: </t>
        </is>
      </c>
      <c r="F81" s="369" t="n">
        <v>45726</v>
      </c>
      <c r="G81" s="133" t="inlineStr">
        <is>
          <t>Assinatura:</t>
        </is>
      </c>
      <c r="H81" s="357" t="inlineStr">
        <is>
          <t>JULIO CORREA</t>
        </is>
      </c>
      <c r="I81" s="324" t="n"/>
      <c r="J81" s="341" t="n"/>
      <c r="K81" s="74" t="n"/>
    </row>
    <row r="82" ht="28.2" customHeight="1">
      <c r="B82" s="134" t="inlineStr">
        <is>
          <t>Service Station</t>
        </is>
      </c>
      <c r="C82" s="338" t="n"/>
      <c r="D82" s="339" t="n"/>
      <c r="E82" s="135" t="inlineStr">
        <is>
          <t>Inspection Date:</t>
        </is>
      </c>
      <c r="F82" s="346" t="n"/>
      <c r="G82" s="135" t="inlineStr">
        <is>
          <t>Signature</t>
        </is>
      </c>
      <c r="H82" s="338" t="n"/>
      <c r="I82" s="328" t="n"/>
      <c r="J82" s="339" t="n"/>
    </row>
    <row r="83">
      <c r="F83" s="136" t="n"/>
    </row>
    <row r="84">
      <c r="F84" s="136" t="inlineStr">
        <is>
          <t>IM.048/02</t>
        </is>
      </c>
    </row>
  </sheetData>
  <mergeCells count="60">
    <mergeCell ref="G59:H59"/>
    <mergeCell ref="I3:J4"/>
    <mergeCell ref="C79:C80"/>
    <mergeCell ref="D3:G3"/>
    <mergeCell ref="J60:J61"/>
    <mergeCell ref="C73:C74"/>
    <mergeCell ref="E79:E80"/>
    <mergeCell ref="J69:J70"/>
    <mergeCell ref="E73:E74"/>
    <mergeCell ref="H7:I8"/>
    <mergeCell ref="I66:I67"/>
    <mergeCell ref="G67:H67"/>
    <mergeCell ref="D77:D78"/>
    <mergeCell ref="G61:H61"/>
    <mergeCell ref="I5:J6"/>
    <mergeCell ref="I62:I63"/>
    <mergeCell ref="C75:C76"/>
    <mergeCell ref="I56:I57"/>
    <mergeCell ref="D75:D76"/>
    <mergeCell ref="E7:F8"/>
    <mergeCell ref="H69:H70"/>
    <mergeCell ref="C81:D82"/>
    <mergeCell ref="G57:H57"/>
    <mergeCell ref="G66:H66"/>
    <mergeCell ref="G62:H62"/>
    <mergeCell ref="E77:E78"/>
    <mergeCell ref="J7:J8"/>
    <mergeCell ref="F81:F82"/>
    <mergeCell ref="B68:J68"/>
    <mergeCell ref="I58:I59"/>
    <mergeCell ref="D69:E70"/>
    <mergeCell ref="J66:J67"/>
    <mergeCell ref="H71:H72"/>
    <mergeCell ref="G79:G80"/>
    <mergeCell ref="J56:J57"/>
    <mergeCell ref="B69:B72"/>
    <mergeCell ref="E75:E76"/>
    <mergeCell ref="H3:H4"/>
    <mergeCell ref="C7:C8"/>
    <mergeCell ref="I60:I61"/>
    <mergeCell ref="G58:H58"/>
    <mergeCell ref="I64:I65"/>
    <mergeCell ref="G65:H65"/>
    <mergeCell ref="D73:D74"/>
    <mergeCell ref="H79:J80"/>
    <mergeCell ref="G73:J78"/>
    <mergeCell ref="G64:H64"/>
    <mergeCell ref="J71:J72"/>
    <mergeCell ref="J62:J63"/>
    <mergeCell ref="J58:J59"/>
    <mergeCell ref="H5:H6"/>
    <mergeCell ref="D79:D80"/>
    <mergeCell ref="H81:J82"/>
    <mergeCell ref="G63:H63"/>
    <mergeCell ref="C77:C78"/>
    <mergeCell ref="J64:J65"/>
    <mergeCell ref="F73:F78"/>
    <mergeCell ref="G60:H60"/>
    <mergeCell ref="G56:H56"/>
    <mergeCell ref="D4:G4"/>
  </mergeCells>
  <printOptions horizontalCentered="1" verticalCentered="1"/>
  <pageMargins left="0.3937007874015748" right="0.3937007874015748" top="0.3937007874015748" bottom="0.3937007874015748" header="0.5118110236220472" footer="0.5118110236220472"/>
  <pageSetup orientation="portrait" paperSize="9" scale="36" blackAndWhit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Inês Lopes</dc:creator>
  <dcterms:created xsi:type="dcterms:W3CDTF">2001-08-01T17:12:05Z</dcterms:created>
  <dcterms:modified xsi:type="dcterms:W3CDTF">2026-02-07T10:01:18Z</dcterms:modified>
  <cp:lastModifiedBy>Júlio Correa</cp:lastModifiedBy>
  <cp:lastPrinted>2025-03-31T09:17:13Z</cp:lastPrinted>
</cp:coreProperties>
</file>