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8889BF66-3852-4324-AE48-76360BF15E26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<sst xmlns="http://schemas.openxmlformats.org/spreadsheetml/2006/main" count="359" uniqueCount="326">
  <si>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</si>
  <si>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</si>
  <si>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</si>
  <si>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</si>
  <si>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</si>
  <si>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</si>
  <si>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</si>
  <si>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</si>
  <si>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</si>
  <si>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</si>
  <si>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</si>
  <si>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</si>
  <si>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</si>
  <si>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</si>
  <si>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</si>
  <si>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</si>
  <si>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</si>
  <si>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</si>
  <si>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</si>
  <si>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</si>
  <si>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</si>
  <si>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</si>
  <si>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</si>
  <si>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</si>
  <si>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</si>
  <si>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</si>
  <si>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</si>
  <si>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</si>
  <si>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</si>
  <si>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</si>
  <si>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</si>
  <si>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</si>
  <si>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</si>
  <si>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</si>
  <si>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</si>
  <si>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</si>
  <si>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</si>
  <si>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</si>
  <si>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</si>
  <si>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</si>
  <si>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</si>
  <si>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</si>
  <si>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</si>
  <si>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</si>
  <si>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</si>
  <si>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</si>
  <si>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</si>
  <si>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</si>
  <si>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</si>
  <si>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</si>
  <si>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</si>
  <si>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</si>
  <si>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</si>
  <si>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</si>
  <si>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</si>
  <si>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</si>
  <si>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</si>
  <si>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</si>
  <si>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</si>
  <si>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</si>
  <si>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</si>
  <si>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</si>
  <si>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</si>
  <si>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</si>
  <si>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</si>
  <si>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</si>
  <si>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</si>
  <si>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</si>
  <si>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</si>
  <si>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</si>
  <si>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</si>
  <si>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</si>
  <si>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</si>
  <si>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</si>
  <si>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</si>
  <si>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</si>
  <si>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</si>
  <si>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</si>
  <si>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</si>
  <si>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</si>
  <si>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</si>
  <si>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</si>
  <si>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</si>
  <si>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</si>
  <si>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</si>
  <si>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</si>
  <si>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</si>
  <si>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</si>
  <si>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</si>
  <si>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</si>
  <si>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</si>
  <si>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</si>
  <si>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</si>
  <si>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</si>
  <si>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</si>
  <si>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</si>
  <si>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</si>
  <si>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</si>
  <si>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</si>
  <si>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</si>
  <si>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</si>
  <si>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</si>
  <si>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</si>
  <si>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</si>
  <si>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</si>
  <si>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</si>
  <si>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</si>
  <si>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</si>
  <si>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</si>
  <si>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</si>
  <si>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</si>
  <si>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</si>
  <si>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</si>
  <si>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</si>
  <si>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</si>
  <si>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</si>
  <si>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</si>
  <si>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</si>
  <si>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</si>
  <si>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</si>
  <si>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</si>
  <si>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</si>
  <si>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</si>
  <si>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</si>
  <si>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</si>
  <si>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</si>
  <si>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</si>
  <si>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</si>
  <si>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</si>
  <si>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</si>
  <si>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</si>
  <si>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</si>
  <si>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</si>
  <si>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</si>
  <si>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</si>
  <si>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</si>
  <si>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</si>
  <si>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</si>
  <si>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</si>
  <si>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</si>
  <si>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</si>
  <si>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</si>
  <si>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</si>
  <si>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</si>
  <si>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</si>
  <si>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</si>
  <si>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</si>
  <si>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</si>
  <si>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</si>
  <si>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</si>
  <si>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</si>
  <si>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</si>
  <si>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</si>
  <si>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</si>
  <si>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</si>
  <si>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</si>
  <si>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</si>
  <si>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</si>
  <si>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</si>
  <si>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</si>
  <si>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</si>
  <si>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</si>
  <si>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</si>
  <si>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</si>
  <si>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</si>
  <si>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</si>
  <si>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</si>
  <si>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</si>
  <si>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</si>
  <si>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</si>
  <si>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</si>
  <si>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</si>
  <si>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</si>
  <si>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</si>
  <si>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</si>
  <si>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</si>
  <si>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</si>
  <si>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</si>
  <si>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</si>
  <si>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</si>
  <si>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</si>
  <si>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</si>
  <si>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</si>
  <si>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</si>
  <si>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</si>
  <si>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</si>
  <si>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</si>
  <si>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</si>
  <si>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</si>
  <si>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</si>
  <si>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</si>
  <si>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</si>
  <si>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</si>
  <si>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</si>
  <si>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</si>
  <si>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</si>
  <si>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</si>
  <si>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</si>
  <si>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</si>
  <si>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</si>
  <si>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</si>
  <si>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</si>
  <si>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</si>
  <si>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</si>
  <si>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</si>
  <si>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</si>
  <si>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</si>
  <si>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</si>
  <si>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</si>
  <si>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</si>
  <si>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</si>
  <si>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</si>
  <si>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</si>
  <si>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</si>
  <si>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</si>
  <si>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</si>
  <si>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</si>
  <si>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</si>
  <si>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</si>
  <si>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</si>
  <si>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</si>
  <si>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</si>
  <si>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</si>
  <si>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</si>
  <si>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</si>
  <si>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</si>
  <si>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</si>
  <si>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</si>
  <si>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</si>
  <si>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</si>
  <si>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</si>
  <si>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</si>
  <si>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</si>
  <si>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</si>
  <si>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</si>
  <si>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</si>
  <si>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</si>
  <si>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</si>
  <si>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</si>
  <si>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</si>
  <si>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</si>
  <si>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</si>
  <si>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</si>
  <si>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</si>
  <si>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</si>
  <si>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</si>
  <si>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</si>
  <si>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</si>
  <si>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</si>
  <si>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</si>
  <si>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</si>
  <si>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</si>
  <si>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</si>
  <si>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</si>
  <si>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</si>
  <si>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</si>
  <si>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</si>
  <si>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</si>
  <si>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</si>
  <si>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</si>
  <si>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</si>
  <si>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</si>
  <si>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</si>
  <si>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</si>
  <si>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</si>
  <si>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</si>
  <si>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</si>
  <si>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</si>
  <si>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</si>
  <si>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</si>
  <si>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</si>
  <si>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</si>
  <si>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</si>
  <si>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</si>
  <si>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</si>
  <si>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</si>
  <si>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</si>
  <si>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</si>
  <si>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</si>
  <si>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</si>
  <si>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</si>
  <si>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</si>
  <si>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</si>
  <si>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</si>
  <si>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</si>
  <si>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</si>
  <si>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</si>
  <si>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</si>
  <si>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</si>
  <si>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</si>
  <si>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</si>
  <si>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</si>
  <si>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</si>
  <si>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</si>
  <si>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</si>
  <si>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</si>
  <si>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</si>
  <si>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</si>
  <si>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</si>
  <si>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</si>
  <si>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</si>
  <si>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</si>
  <si>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</si>
  <si>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</si>
  <si>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</si>
  <si>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</si>
  <si>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</si>
  <si>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</si>
  <si>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</si>
  <si>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</si>
  <si>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7,050</t>
  </si>
  <si>
    <t>SEA-SAFE</t>
  </si>
  <si>
    <t>PL-12-F0294</t>
  </si>
  <si>
    <t>&lt; 24H</t>
  </si>
  <si>
    <t>01/2019</t>
  </si>
  <si>
    <t>17 Cº</t>
  </si>
  <si>
    <t>0,240</t>
  </si>
  <si>
    <t>11,130</t>
  </si>
  <si>
    <t>08/18</t>
  </si>
  <si>
    <t>77962</t>
  </si>
  <si>
    <t>DK99S</t>
  </si>
  <si>
    <t>STRAPPO</t>
  </si>
  <si>
    <t>AZ25-029</t>
  </si>
  <si>
    <t>1005 Hpa</t>
  </si>
  <si>
    <t>PORTUGAL</t>
  </si>
  <si>
    <t>SAILAZORES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</si>
</sst>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6CD2E63-F307-4168-8EC3-E432CEECB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9" workbookViewId="0">
      <selection activeCell="Q48" sqref="Q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AZ25-029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SEA-SAFE</v>
      </c>
      <c r="D12" s="166"/>
      <c r="E12" s="236"/>
      <c r="F12" s="167"/>
      <c r="G12" s="165">
        <f>QUADRO!J7</f>
        <v>12</v>
      </c>
      <c r="H12" s="167"/>
      <c r="I12" s="211" t="str">
        <f>QUADRO!C7</f>
        <v>PL-12-F0294</v>
      </c>
      <c r="J12" s="212"/>
      <c r="K12" s="230" t="str">
        <f>QUADRO!G79</f>
        <v>01/2019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309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77962</v>
      </c>
      <c r="D19" s="198"/>
      <c r="E19" s="198"/>
      <c r="F19" s="199"/>
      <c r="G19" s="227">
        <f>QUADRO!I62</f>
        <v>3.84</v>
      </c>
      <c r="H19" s="227"/>
      <c r="I19" s="227" t="str">
        <f>QUADRO!I64</f>
        <v>0,240</v>
      </c>
      <c r="J19" s="227"/>
      <c r="K19" s="228" t="str">
        <f>QUADRO!I66</f>
        <v>08/18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PL-12-F0294</v>
      </c>
      <c r="J26" s="210"/>
      <c r="K26" s="221">
        <f>QUADRO!F81+366+365+365</f>
        <v>46815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45719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46815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306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324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STRAPPO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325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305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322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312</v>
      </c>
      <c r="D7" s="80" t="s">
        <v>93</v>
      </c>
      <c r="E7" s="309" t="s">
        <v>321</v>
      </c>
      <c r="F7" s="310"/>
      <c r="G7" s="81" t="s">
        <v>94</v>
      </c>
      <c r="H7" s="309" t="s">
        <v>311</v>
      </c>
      <c r="I7" s="318"/>
      <c r="J7" s="321">
        <v>12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313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320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319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317</v>
      </c>
      <c r="J58" s="282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310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  <c r="M61" s="164">
        <f>I60+I62+I64</f>
        <v>11.13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3.84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316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318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304</v>
      </c>
      <c r="E69" s="294"/>
      <c r="F69" s="144" t="s">
        <v>268</v>
      </c>
      <c r="G69" s="145" t="s">
        <v>269</v>
      </c>
      <c r="H69" s="297" t="s">
        <v>315</v>
      </c>
      <c r="I69" s="145" t="s">
        <v>270</v>
      </c>
      <c r="J69" s="299" t="s">
        <v>315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323</v>
      </c>
      <c r="I71" s="145" t="s">
        <v>270</v>
      </c>
      <c r="J71" s="297" t="s">
        <v>323</v>
      </c>
    </row>
    <row r="72" spans="1:11" ht="42" customHeight="1" x14ac:dyDescent="0.3">
      <c r="B72" s="292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145</v>
      </c>
      <c r="D73" s="262">
        <v>143</v>
      </c>
      <c r="E73" s="264">
        <f>1-(D73/C73)</f>
        <v>1.379310344827589E-2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152</v>
      </c>
      <c r="D75" s="262">
        <v>150</v>
      </c>
      <c r="E75" s="264">
        <f>1-(D75/C75)</f>
        <v>1.3157894736842146E-2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314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45719</v>
      </c>
      <c r="G81" s="159" t="s">
        <v>294</v>
      </c>
      <c r="H81" s="244" t="s">
        <v>307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58fd9fea-3366-43da-aecb-8b9e71dbf378" xsi:nil="true"/>
    <MigrationWizIdPermissions xmlns="58fd9fea-3366-43da-aecb-8b9e71dbf378" xsi:nil="true"/>
    <MigrationWizIdPermissionLevels xmlns="58fd9fea-3366-43da-aecb-8b9e71dbf378" xsi:nil="true"/>
    <MigrationWizIdSecurityGroups xmlns="58fd9fea-3366-43da-aecb-8b9e71dbf378" xsi:nil="true"/>
    <MigrationWizIdDocumentLibraryPermissions xmlns="58fd9fea-3366-43da-aecb-8b9e71dbf37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FFC76C23E00E4A9C0549C983E5D692" ma:contentTypeVersion="10" ma:contentTypeDescription="Criar um novo documento." ma:contentTypeScope="" ma:versionID="2935f3ffed01883a5d9eb85b0d577922">
  <xsd:schema xmlns:xsd="http://www.w3.org/2001/XMLSchema" xmlns:xs="http://www.w3.org/2001/XMLSchema" xmlns:p="http://schemas.microsoft.com/office/2006/metadata/properties" xmlns:ns3="58fd9fea-3366-43da-aecb-8b9e71dbf378" targetNamespace="http://schemas.microsoft.com/office/2006/metadata/properties" ma:root="true" ma:fieldsID="ef2c8342db218d16899a20aec449a97c" ns3:_="">
    <xsd:import namespace="58fd9fea-3366-43da-aecb-8b9e71dbf37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d9fea-3366-43da-aecb-8b9e71dbf378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58fd9fea-3366-43da-aecb-8b9e71dbf378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ECDDE8A-580A-4975-A206-CE51E91617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d9fea-3366-43da-aecb-8b9e71dbf3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2025-03-13T12:09:22Z</cp:lastPrinted>
  <dcterms:created xsi:type="dcterms:W3CDTF">2001-08-01T17:12:05Z</dcterms:created>
  <dcterms:modified xsi:type="dcterms:W3CDTF">2025-03-13T12:09:27Z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0x01010024FFC76C23E00E4A9C0549C983E5D692</vt:lpwstr>
  </property>
</Properties>
</file>