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43AD643-3724-4427-875E-E81C3EA407F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9" l="1"/>
  <c r="K34" i="9"/>
  <c r="M58" i="10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G26" i="9"/>
  <c r="I12" i="9"/>
  <c r="E75" i="10"/>
  <c r="E73" i="10"/>
</calcChain>
</file>

<file path=xl/sharedStrings.xml><?xml version="1.0" encoding="utf-8"?>
<sst xmlns="http://schemas.openxmlformats.org/spreadsheetml/2006/main" count="365" uniqueCount="332">
  <si>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</si>
  <si>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</si>
  <si>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</si>
  <si>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</si>
  <si>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</si>
  <si>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</si>
  <si>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</si>
  <si>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</si>
  <si>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</si>
  <si>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</si>
  <si>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</si>
  <si>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</si>
  <si>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</si>
  <si>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</si>
  <si>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</si>
  <si>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</si>
  <si>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</si>
  <si>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</si>
  <si>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</si>
  <si>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</si>
  <si>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</si>
  <si>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</si>
  <si>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</si>
  <si>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</si>
  <si>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</si>
  <si>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</si>
  <si>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</si>
  <si>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</si>
  <si>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</si>
  <si>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</si>
  <si>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</si>
  <si>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</si>
  <si>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</si>
  <si>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</si>
  <si>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</si>
  <si>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</si>
  <si>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</si>
  <si>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</si>
  <si>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</si>
  <si>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</si>
  <si>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</si>
  <si>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</si>
  <si>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</si>
  <si>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</si>
  <si>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</si>
  <si>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</si>
  <si>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</si>
  <si>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</si>
  <si>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</si>
  <si>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</si>
  <si>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</si>
  <si>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</si>
  <si>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</si>
  <si>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</si>
  <si>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</si>
  <si>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</si>
  <si>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</si>
  <si>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</si>
  <si>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</si>
  <si>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</si>
  <si>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</si>
  <si>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</si>
  <si>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</si>
  <si>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</si>
  <si>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</si>
  <si>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</si>
  <si>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</si>
  <si>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</si>
  <si>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</si>
  <si>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</si>
  <si>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</si>
  <si>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</si>
  <si>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</si>
  <si>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</si>
  <si>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</si>
  <si>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</si>
  <si>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</si>
  <si>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</si>
  <si>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</si>
  <si>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</si>
  <si>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</si>
  <si>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</si>
  <si>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</si>
  <si>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</si>
  <si>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</si>
  <si>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</si>
  <si>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</si>
  <si>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</si>
  <si>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</si>
  <si>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</si>
  <si>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</si>
  <si>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</si>
  <si>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</si>
  <si>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</si>
  <si>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</si>
  <si>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</si>
  <si>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</si>
  <si>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</si>
  <si>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</si>
  <si>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</si>
  <si>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</si>
  <si>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</si>
  <si>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</si>
  <si>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</si>
  <si>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</si>
  <si>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</si>
  <si>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</si>
  <si>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</si>
  <si>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</si>
  <si>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</si>
  <si>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</si>
  <si>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</si>
  <si>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</si>
  <si>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</si>
  <si>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</si>
  <si>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</si>
  <si>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</si>
  <si>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</si>
  <si>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</si>
  <si>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</si>
  <si>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</si>
  <si>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</si>
  <si>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</si>
  <si>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</si>
  <si>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</si>
  <si>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</si>
  <si>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</si>
  <si>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</si>
  <si>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</si>
  <si>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</si>
  <si>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</si>
  <si>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</si>
  <si>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</si>
  <si>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</si>
  <si>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</si>
  <si>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</si>
  <si>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</si>
  <si>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</si>
  <si>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</si>
  <si>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</si>
  <si>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</si>
  <si>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</si>
  <si>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</si>
  <si>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</si>
  <si>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</si>
  <si>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</si>
  <si>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</si>
  <si>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</si>
  <si>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</si>
  <si>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</si>
  <si>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</si>
  <si>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</si>
  <si>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</si>
  <si>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</si>
  <si>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</si>
  <si>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</si>
  <si>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</si>
  <si>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</si>
  <si>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</si>
  <si>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</si>
  <si>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</si>
  <si>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</si>
  <si>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</si>
  <si>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</si>
  <si>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</si>
  <si>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</si>
  <si>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</si>
  <si>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</si>
  <si>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</si>
  <si>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</si>
  <si>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</si>
  <si>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</si>
  <si>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</si>
  <si>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</si>
  <si>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</si>
  <si>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</si>
  <si>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</si>
  <si>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</si>
  <si>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</si>
  <si>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</si>
  <si>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</si>
  <si>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</si>
  <si>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</si>
  <si>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</si>
  <si>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</si>
  <si>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</si>
  <si>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</si>
  <si>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</si>
  <si>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</si>
  <si>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</si>
  <si>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</si>
  <si>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</si>
  <si>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</si>
  <si>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</si>
  <si>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</si>
  <si>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</si>
  <si>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</si>
  <si>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</si>
  <si>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</si>
  <si>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</si>
  <si>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</si>
  <si>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</si>
  <si>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</si>
  <si>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</si>
  <si>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</si>
  <si>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</si>
  <si>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</si>
  <si>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</si>
  <si>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</si>
  <si>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</si>
  <si>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</si>
  <si>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</si>
  <si>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</si>
  <si>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</si>
  <si>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</si>
  <si>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</si>
  <si>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</si>
  <si>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</si>
  <si>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</si>
  <si>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</si>
  <si>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</si>
  <si>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</si>
  <si>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</si>
  <si>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</si>
  <si>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</si>
  <si>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</si>
  <si>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</si>
  <si>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</si>
  <si>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</si>
  <si>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</si>
  <si>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</si>
  <si>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</si>
  <si>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</si>
  <si>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</si>
  <si>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</si>
  <si>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</si>
  <si>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</si>
  <si>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</si>
  <si>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</si>
  <si>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</si>
  <si>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</si>
  <si>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</si>
  <si>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</si>
  <si>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</si>
  <si>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</si>
  <si>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</si>
  <si>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</si>
  <si>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</si>
  <si>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</si>
  <si>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</si>
  <si>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</si>
  <si>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</si>
  <si>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</si>
  <si>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</si>
  <si>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</si>
  <si>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</si>
  <si>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</si>
  <si>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</si>
  <si>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</si>
  <si>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</si>
  <si>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</si>
  <si>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</si>
  <si>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</si>
  <si>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</si>
  <si>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</si>
  <si>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</si>
  <si>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</si>
  <si>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</si>
  <si>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</si>
  <si>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</si>
  <si>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</si>
  <si>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</si>
  <si>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</si>
  <si>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</si>
  <si>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</si>
  <si>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</si>
  <si>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</si>
  <si>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</si>
  <si>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</si>
  <si>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</si>
  <si>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</si>
  <si>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</si>
  <si>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</si>
  <si>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</si>
  <si>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</si>
  <si>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</si>
  <si>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</si>
  <si>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</si>
  <si>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</si>
  <si>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</si>
  <si>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</si>
  <si>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</si>
  <si>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</si>
  <si>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</si>
  <si>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</si>
  <si>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</si>
  <si>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</si>
  <si>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</si>
  <si>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</si>
  <si>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</si>
  <si>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</si>
  <si>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</si>
  <si>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</si>
  <si>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</si>
  <si>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</si>
  <si>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</si>
  <si>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</si>
  <si>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</si>
  <si>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 xml:space="preserve">OREY TÉCNICA </t>
  </si>
  <si>
    <t>ok</t>
  </si>
  <si>
    <t>REPORT ANNEXED</t>
  </si>
  <si>
    <t xml:space="preserve">inH2O [X ] inHg [   ] mbar [] </t>
  </si>
  <si>
    <t xml:space="preserve">SOLAS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</si>
  <si>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</si>
  <si>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PÃO DE CRISTO</t>
  </si>
  <si>
    <t>JOSÉ MANUEL TERCEIRA ANDRADE</t>
  </si>
  <si>
    <t>PORTUGAL</t>
  </si>
  <si>
    <t>5017330300359</t>
  </si>
  <si>
    <t>08/27</t>
  </si>
  <si>
    <t>02/26</t>
  </si>
  <si>
    <t>MIN</t>
  </si>
  <si>
    <t>22W123002</t>
  </si>
  <si>
    <t>12,272</t>
  </si>
  <si>
    <t>0,160</t>
  </si>
  <si>
    <t>9,612</t>
  </si>
  <si>
    <t>04/22</t>
  </si>
  <si>
    <t>01/11/2022</t>
  </si>
  <si>
    <t>995 Hpa</t>
  </si>
  <si>
    <t>15 Cº</t>
  </si>
  <si>
    <t>15  Cº</t>
  </si>
  <si>
    <t>AZ25-005</t>
  </si>
  <si>
    <t>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</si>
</sst>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47704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3095703" cy="556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tr">
        <f>QUADRO!I5</f>
        <v>AZ25-005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17"/>
      <c r="F12" s="140"/>
      <c r="G12" s="138">
        <f>QUADRO!J7</f>
        <v>8</v>
      </c>
      <c r="H12" s="140"/>
      <c r="I12" s="200" t="str">
        <f>QUADRO!C7</f>
        <v>5017330300359</v>
      </c>
      <c r="J12" s="201"/>
      <c r="K12" s="211" t="str">
        <f>QUADRO!G79</f>
        <v>01/11/2022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304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22W123002</v>
      </c>
      <c r="D19" s="171"/>
      <c r="E19" s="171"/>
      <c r="F19" s="172"/>
      <c r="G19" s="208">
        <f>QUADRO!I62</f>
        <v>2.5</v>
      </c>
      <c r="H19" s="208"/>
      <c r="I19" s="208" t="str">
        <f>QUADRO!I64</f>
        <v>0,160</v>
      </c>
      <c r="J19" s="208"/>
      <c r="K19" s="209" t="str">
        <f>QUADRO!I66</f>
        <v>04/22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MIN</v>
      </c>
      <c r="H26" s="169"/>
      <c r="I26" s="198" t="str">
        <f>QUADRO!C7</f>
        <v>5017330300359</v>
      </c>
      <c r="J26" s="199"/>
      <c r="K26" s="202">
        <f>QUADRO!F81+365</f>
        <v>46035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312</v>
      </c>
      <c r="H34" s="191"/>
      <c r="I34" s="190"/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303</v>
      </c>
      <c r="F40" s="148"/>
      <c r="G40" s="35" t="s">
        <v>52</v>
      </c>
      <c r="H40" s="166" t="s">
        <v>303</v>
      </c>
      <c r="I40" s="35" t="s">
        <v>73</v>
      </c>
      <c r="J40" s="166" t="s">
        <v>303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45670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46035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310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316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PÃO DE CRISTO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315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3.2" customHeight="1" x14ac:dyDescent="0.25">
      <c r="A69" s="218" t="s">
        <v>313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88</v>
      </c>
      <c r="E3" s="303"/>
      <c r="F3" s="303"/>
      <c r="G3" s="303"/>
      <c r="H3" s="304" t="s">
        <v>89</v>
      </c>
      <c r="I3" s="306"/>
      <c r="J3" s="307"/>
    </row>
    <row r="4" spans="2:15" s="58" customFormat="1" ht="23.4" customHeight="1" x14ac:dyDescent="0.4">
      <c r="B4" s="56" t="s">
        <v>90</v>
      </c>
      <c r="C4" s="57"/>
      <c r="D4" s="308" t="s">
        <v>91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92</v>
      </c>
      <c r="C5" s="56"/>
      <c r="H5" s="309" t="s">
        <v>93</v>
      </c>
      <c r="I5" s="311" t="s">
        <v>330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94</v>
      </c>
      <c r="C7" s="287" t="s">
        <v>317</v>
      </c>
      <c r="D7" s="59" t="s">
        <v>95</v>
      </c>
      <c r="E7" s="289" t="s">
        <v>314</v>
      </c>
      <c r="F7" s="290"/>
      <c r="G7" s="60" t="s">
        <v>96</v>
      </c>
      <c r="H7" s="289" t="s">
        <v>305</v>
      </c>
      <c r="I7" s="298"/>
      <c r="J7" s="301">
        <v>8</v>
      </c>
    </row>
    <row r="8" spans="2:15" ht="23.4" customHeight="1" x14ac:dyDescent="0.3">
      <c r="B8" s="61" t="s">
        <v>97</v>
      </c>
      <c r="C8" s="288"/>
      <c r="D8" s="61" t="s">
        <v>98</v>
      </c>
      <c r="E8" s="291"/>
      <c r="F8" s="292"/>
      <c r="G8" s="62" t="s">
        <v>99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331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319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318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318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/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307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320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3" t="s">
        <v>234</v>
      </c>
      <c r="H56" s="294"/>
      <c r="I56" s="295" t="s">
        <v>321</v>
      </c>
      <c r="J56" s="296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6" t="s">
        <v>237</v>
      </c>
      <c r="H57" s="265"/>
      <c r="I57" s="261"/>
      <c r="J57" s="297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5" t="s">
        <v>240</v>
      </c>
      <c r="H58" s="259"/>
      <c r="I58" s="260" t="s">
        <v>322</v>
      </c>
      <c r="J58" s="262"/>
      <c r="M58" s="137">
        <f>I58-I62-I64</f>
        <v>9.6120000000000001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6" t="s">
        <v>243</v>
      </c>
      <c r="H59" s="265"/>
      <c r="I59" s="261"/>
      <c r="J59" s="263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5" t="s">
        <v>246</v>
      </c>
      <c r="H60" s="259"/>
      <c r="I60" s="260" t="s">
        <v>324</v>
      </c>
      <c r="J60" s="262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6" t="s">
        <v>249</v>
      </c>
      <c r="H61" s="265"/>
      <c r="I61" s="261"/>
      <c r="J61" s="263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8" t="s">
        <v>252</v>
      </c>
      <c r="H62" s="259"/>
      <c r="I62" s="281">
        <v>2.5</v>
      </c>
      <c r="J62" s="283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4" t="s">
        <v>255</v>
      </c>
      <c r="H63" s="265"/>
      <c r="I63" s="282"/>
      <c r="J63" s="284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5" t="s">
        <v>258</v>
      </c>
      <c r="H64" s="259"/>
      <c r="I64" s="260" t="s">
        <v>323</v>
      </c>
      <c r="J64" s="262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6" t="s">
        <v>261</v>
      </c>
      <c r="H65" s="265"/>
      <c r="I65" s="261"/>
      <c r="J65" s="263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8" t="s">
        <v>264</v>
      </c>
      <c r="H66" s="259"/>
      <c r="I66" s="260" t="s">
        <v>325</v>
      </c>
      <c r="J66" s="262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4" t="s">
        <v>267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268</v>
      </c>
      <c r="C69" s="117" t="s">
        <v>269</v>
      </c>
      <c r="D69" s="273" t="s">
        <v>311</v>
      </c>
      <c r="E69" s="274"/>
      <c r="F69" s="118" t="s">
        <v>270</v>
      </c>
      <c r="G69" s="119" t="s">
        <v>271</v>
      </c>
      <c r="H69" s="277" t="s">
        <v>328</v>
      </c>
      <c r="I69" s="119" t="s">
        <v>272</v>
      </c>
      <c r="J69" s="279" t="s">
        <v>329</v>
      </c>
    </row>
    <row r="70" spans="1:11" ht="21.6" customHeight="1" x14ac:dyDescent="0.3">
      <c r="B70" s="270"/>
      <c r="C70" s="120" t="s">
        <v>273</v>
      </c>
      <c r="D70" s="275"/>
      <c r="E70" s="276"/>
      <c r="F70" s="121" t="s">
        <v>274</v>
      </c>
      <c r="G70" s="122" t="s">
        <v>275</v>
      </c>
      <c r="H70" s="278"/>
      <c r="I70" s="122" t="s">
        <v>276</v>
      </c>
      <c r="J70" s="280"/>
    </row>
    <row r="71" spans="1:11" ht="21" x14ac:dyDescent="0.3">
      <c r="B71" s="27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7" t="s">
        <v>327</v>
      </c>
      <c r="I71" s="119" t="s">
        <v>272</v>
      </c>
      <c r="J71" s="277" t="s">
        <v>327</v>
      </c>
    </row>
    <row r="72" spans="1:11" ht="42" customHeight="1" x14ac:dyDescent="0.3">
      <c r="B72" s="272"/>
      <c r="C72" s="125">
        <v>0.41666666666666669</v>
      </c>
      <c r="D72" s="125">
        <v>0.45833333333333331</v>
      </c>
      <c r="E72" s="126" t="s">
        <v>281</v>
      </c>
      <c r="F72" s="121" t="s">
        <v>282</v>
      </c>
      <c r="G72" s="127" t="s">
        <v>275</v>
      </c>
      <c r="H72" s="278"/>
      <c r="I72" s="127" t="s">
        <v>276</v>
      </c>
      <c r="J72" s="278"/>
    </row>
    <row r="73" spans="1:11" ht="21.6" customHeight="1" x14ac:dyDescent="0.3">
      <c r="B73" s="128" t="s">
        <v>283</v>
      </c>
      <c r="C73" s="244">
        <v>89.2</v>
      </c>
      <c r="D73" s="244">
        <v>88.5</v>
      </c>
      <c r="E73" s="232">
        <f>1-(D73/C73)</f>
        <v>7.8475336322870737E-3</v>
      </c>
      <c r="F73" s="246" t="s">
        <v>284</v>
      </c>
      <c r="G73" s="249"/>
      <c r="H73" s="250"/>
      <c r="I73" s="250"/>
      <c r="J73" s="251"/>
    </row>
    <row r="74" spans="1:11" ht="21.6" customHeight="1" x14ac:dyDescent="0.3">
      <c r="B74" s="129" t="s">
        <v>285</v>
      </c>
      <c r="C74" s="245"/>
      <c r="D74" s="245"/>
      <c r="E74" s="233"/>
      <c r="F74" s="247"/>
      <c r="G74" s="252"/>
      <c r="H74" s="253"/>
      <c r="I74" s="253"/>
      <c r="J74" s="254"/>
    </row>
    <row r="75" spans="1:11" ht="21.6" customHeight="1" x14ac:dyDescent="0.3">
      <c r="B75" s="128" t="s">
        <v>286</v>
      </c>
      <c r="C75" s="244">
        <v>94.9</v>
      </c>
      <c r="D75" s="244">
        <v>93.1</v>
      </c>
      <c r="E75" s="232">
        <f>1-(D75/C75)</f>
        <v>1.8967334035827288E-2</v>
      </c>
      <c r="F75" s="247"/>
      <c r="G75" s="252"/>
      <c r="H75" s="253"/>
      <c r="I75" s="253"/>
      <c r="J75" s="254"/>
    </row>
    <row r="76" spans="1:11" ht="21.6" customHeight="1" x14ac:dyDescent="0.3">
      <c r="B76" s="129" t="s">
        <v>287</v>
      </c>
      <c r="C76" s="245"/>
      <c r="D76" s="245"/>
      <c r="E76" s="233"/>
      <c r="F76" s="247"/>
      <c r="G76" s="252"/>
      <c r="H76" s="253"/>
      <c r="I76" s="253"/>
      <c r="J76" s="254"/>
    </row>
    <row r="77" spans="1:11" ht="21" customHeight="1" x14ac:dyDescent="0.3">
      <c r="B77" s="128" t="s">
        <v>288</v>
      </c>
      <c r="C77" s="230"/>
      <c r="D77" s="230"/>
      <c r="E77" s="232" t="s">
        <v>309</v>
      </c>
      <c r="F77" s="247"/>
      <c r="G77" s="252"/>
      <c r="H77" s="253"/>
      <c r="I77" s="253"/>
      <c r="J77" s="254"/>
    </row>
    <row r="78" spans="1:11" ht="21" customHeight="1" x14ac:dyDescent="0.3">
      <c r="B78" s="129" t="s">
        <v>289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8" t="s">
        <v>290</v>
      </c>
      <c r="C79" s="230"/>
      <c r="D79" s="230"/>
      <c r="E79" s="234" t="s">
        <v>1</v>
      </c>
      <c r="F79" s="130" t="s">
        <v>291</v>
      </c>
      <c r="G79" s="236" t="s">
        <v>326</v>
      </c>
      <c r="H79" s="238"/>
      <c r="I79" s="239"/>
      <c r="J79" s="240"/>
      <c r="K79" s="55"/>
    </row>
    <row r="80" spans="1:11" ht="21" customHeight="1" x14ac:dyDescent="0.3">
      <c r="B80" s="129" t="s">
        <v>292</v>
      </c>
      <c r="C80" s="231"/>
      <c r="D80" s="231"/>
      <c r="E80" s="235"/>
      <c r="F80" s="131" t="s">
        <v>293</v>
      </c>
      <c r="G80" s="237"/>
      <c r="H80" s="241"/>
      <c r="I80" s="242"/>
      <c r="J80" s="243"/>
    </row>
    <row r="81" spans="1:11" ht="30" customHeight="1" x14ac:dyDescent="0.3">
      <c r="A81" s="74"/>
      <c r="B81" s="132" t="s">
        <v>294</v>
      </c>
      <c r="C81" s="224" t="s">
        <v>308</v>
      </c>
      <c r="D81" s="226"/>
      <c r="E81" s="133" t="s">
        <v>295</v>
      </c>
      <c r="F81" s="222">
        <v>45670</v>
      </c>
      <c r="G81" s="133" t="s">
        <v>296</v>
      </c>
      <c r="H81" s="224"/>
      <c r="I81" s="225"/>
      <c r="J81" s="226"/>
      <c r="K81" s="74"/>
    </row>
    <row r="82" spans="1:11" ht="28.2" customHeight="1" x14ac:dyDescent="0.3">
      <c r="B82" s="134" t="s">
        <v>297</v>
      </c>
      <c r="C82" s="227"/>
      <c r="D82" s="229"/>
      <c r="E82" s="135" t="s">
        <v>298</v>
      </c>
      <c r="F82" s="223"/>
      <c r="G82" s="135" t="s">
        <v>0</v>
      </c>
      <c r="H82" s="227"/>
      <c r="I82" s="228"/>
      <c r="J82" s="229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2024-01-18T17:42:44Z</cp:lastPrinted>
  <dcterms:created xsi:type="dcterms:W3CDTF">2001-08-01T17:12:05Z</dcterms:created>
  <dcterms:modified xsi:type="dcterms:W3CDTF">2025-01-13T16:46:09Z</dcterms:modified>
</cp:coreProperties>
</file>