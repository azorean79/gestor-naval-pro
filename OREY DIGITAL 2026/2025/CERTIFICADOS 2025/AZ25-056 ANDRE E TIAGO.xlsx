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223979F-3B80-47C0-945A-4A674D67AE7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<sst xmlns="http://schemas.openxmlformats.org/spreadsheetml/2006/main" count="373" uniqueCount="336">
  <si>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</si>
  <si>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</si>
  <si>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</si>
  <si>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</si>
  <si>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</si>
  <si>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</si>
  <si>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</si>
  <si>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</si>
  <si>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</si>
  <si>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</si>
  <si>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</si>
  <si>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</si>
  <si>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</si>
  <si>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</si>
  <si>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</si>
  <si>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</si>
  <si>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</si>
  <si>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</si>
  <si>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</si>
  <si>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</si>
  <si>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</si>
  <si>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</si>
  <si>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</si>
  <si>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</si>
  <si>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</si>
  <si>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</si>
  <si>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</si>
  <si>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</si>
  <si>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</si>
  <si>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</si>
  <si>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</si>
  <si>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</si>
  <si>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</si>
  <si>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</si>
  <si>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</si>
  <si>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</si>
  <si>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</si>
  <si>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</si>
  <si>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</si>
  <si>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</si>
  <si>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</si>
  <si>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</si>
  <si>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</si>
  <si>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</si>
  <si>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</si>
  <si>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</si>
  <si>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</si>
  <si>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</si>
  <si>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</si>
  <si>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</si>
  <si>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</si>
  <si>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</si>
  <si>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</si>
  <si>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</si>
  <si>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</si>
  <si>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</si>
  <si>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</si>
  <si>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</si>
  <si>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</si>
  <si>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</si>
  <si>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</si>
  <si>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</si>
  <si>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</si>
  <si>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</si>
  <si>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</si>
  <si>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</si>
  <si>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</si>
  <si>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</si>
  <si>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</si>
  <si>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</si>
  <si>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</si>
  <si>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</si>
  <si>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</si>
  <si>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</si>
  <si>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</si>
  <si>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</si>
  <si>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</si>
  <si>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</si>
  <si>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</si>
  <si>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</si>
  <si>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</si>
  <si>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</si>
  <si>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</si>
  <si>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</si>
  <si>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</si>
  <si>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</si>
  <si>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</si>
  <si>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</si>
  <si>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</si>
  <si>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</si>
  <si>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</si>
  <si>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</si>
  <si>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</si>
  <si>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</si>
  <si>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</si>
  <si>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</si>
  <si>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</si>
  <si>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</si>
  <si>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</si>
  <si>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</si>
  <si>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</si>
  <si>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</si>
  <si>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</si>
  <si>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</si>
  <si>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</si>
  <si>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</si>
  <si>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</si>
  <si>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</si>
  <si>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</si>
  <si>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</si>
  <si>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</si>
  <si>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</si>
  <si>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</si>
  <si>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</si>
  <si>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</si>
  <si>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</si>
  <si>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</si>
  <si>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</si>
  <si>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</si>
  <si>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</si>
  <si>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</si>
  <si>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</si>
  <si>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</si>
  <si>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</si>
  <si>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</si>
  <si>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</si>
  <si>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</si>
  <si>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</si>
  <si>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</si>
  <si>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</si>
  <si>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</si>
  <si>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</si>
  <si>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</si>
  <si>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</si>
  <si>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</si>
  <si>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</si>
  <si>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</si>
  <si>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</si>
  <si>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</si>
  <si>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</si>
  <si>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</si>
  <si>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</si>
  <si>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</si>
  <si>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</si>
  <si>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</si>
  <si>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</si>
  <si>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</si>
  <si>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</si>
  <si>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</si>
  <si>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</si>
  <si>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</si>
  <si>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</si>
  <si>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</si>
  <si>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</si>
  <si>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</si>
  <si>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</si>
  <si>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</si>
  <si>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</si>
  <si>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</si>
  <si>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</si>
  <si>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</si>
  <si>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</si>
  <si>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</si>
  <si>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</si>
  <si>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</si>
  <si>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</si>
  <si>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</si>
  <si>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</si>
  <si>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</si>
  <si>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</si>
  <si>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</si>
  <si>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</si>
  <si>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</si>
  <si>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</si>
  <si>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</si>
  <si>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</si>
  <si>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</si>
  <si>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</si>
  <si>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</si>
  <si>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</si>
  <si>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</si>
  <si>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</si>
  <si>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</si>
  <si>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</si>
  <si>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</si>
  <si>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</si>
  <si>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</si>
  <si>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</si>
  <si>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</si>
  <si>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</si>
  <si>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</si>
  <si>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</si>
  <si>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</si>
  <si>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</si>
  <si>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</si>
  <si>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</si>
  <si>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</si>
  <si>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</si>
  <si>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</si>
  <si>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</si>
  <si>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</si>
  <si>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</si>
  <si>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</si>
  <si>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</si>
  <si>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</si>
  <si>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</si>
  <si>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</si>
  <si>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</si>
  <si>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</si>
  <si>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</si>
  <si>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</si>
  <si>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</si>
  <si>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</si>
  <si>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</si>
  <si>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</si>
  <si>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</si>
  <si>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</si>
  <si>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</si>
  <si>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</si>
  <si>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</si>
  <si>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</si>
  <si>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</si>
  <si>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</si>
  <si>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</si>
  <si>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</si>
  <si>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</si>
  <si>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</si>
  <si>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</si>
  <si>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</si>
  <si>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</si>
  <si>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</si>
  <si>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</si>
  <si>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</si>
  <si>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</si>
  <si>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</si>
  <si>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</si>
  <si>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</si>
  <si>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</si>
  <si>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</si>
  <si>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</si>
  <si>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</si>
  <si>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</si>
  <si>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</si>
  <si>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</si>
  <si>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</si>
  <si>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</si>
  <si>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</si>
  <si>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</si>
  <si>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</si>
  <si>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</si>
  <si>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</si>
  <si>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</si>
  <si>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</si>
  <si>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</si>
  <si>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</si>
  <si>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</si>
  <si>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</si>
  <si>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</si>
  <si>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</si>
  <si>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</si>
  <si>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</si>
  <si>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</si>
  <si>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</si>
  <si>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</si>
  <si>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</si>
  <si>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</si>
  <si>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</si>
  <si>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</si>
  <si>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</si>
  <si>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</si>
  <si>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</si>
  <si>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</si>
  <si>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</si>
  <si>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</si>
  <si>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</si>
  <si>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</si>
  <si>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</si>
  <si>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</si>
  <si>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</si>
  <si>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</si>
  <si>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</si>
  <si>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</si>
  <si>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</si>
  <si>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</si>
  <si>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</si>
  <si>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</si>
  <si>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</si>
  <si>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</si>
  <si>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</si>
  <si>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</si>
  <si>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</si>
  <si>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</si>
  <si>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</si>
  <si>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</si>
  <si>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</si>
  <si>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</si>
  <si>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</si>
  <si>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</si>
  <si>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</si>
  <si>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</si>
  <si>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</si>
  <si>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PU</t>
  </si>
  <si>
    <t>RFD SEASAVA</t>
  </si>
  <si>
    <t>10 MT</t>
  </si>
  <si>
    <t>SIMPL. REDUZ.</t>
  </si>
  <si>
    <t>SOLAS</t>
  </si>
  <si>
    <t>YES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</si>
  <si>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</si>
  <si>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</si>
  <si>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</si>
  <si>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0,140</t>
  </si>
  <si>
    <t>42458000300468</t>
  </si>
  <si>
    <t>11/18</t>
  </si>
  <si>
    <t>GIST</t>
  </si>
  <si>
    <t>A10</t>
  </si>
  <si>
    <t>75255</t>
  </si>
  <si>
    <t>16,644</t>
  </si>
  <si>
    <t>11,754</t>
  </si>
  <si>
    <t>03/20</t>
  </si>
  <si>
    <t xml:space="preserve">ANDRÉ E TIAGO </t>
  </si>
  <si>
    <t>JOAO NATALINO BARBOSA  BOLARINHO</t>
  </si>
  <si>
    <t>NO</t>
  </si>
  <si>
    <t>PORTUGAL</t>
  </si>
  <si>
    <t>05/26</t>
  </si>
  <si>
    <t>04/27</t>
  </si>
  <si>
    <t>07/26</t>
  </si>
  <si>
    <t>05/2007</t>
  </si>
  <si>
    <t xml:space="preserve">inH2O [X ] inHg [   ] mbar [  ] </t>
  </si>
  <si>
    <t>15 Cº</t>
  </si>
  <si>
    <t>AZ25-056</t>
  </si>
  <si>
    <t xml:space="preserve"> RB2  02/28</t>
  </si>
  <si>
    <t>02/28</t>
  </si>
  <si>
    <t>03/25</t>
  </si>
  <si>
    <t xml:space="preserve"> 06/28</t>
  </si>
  <si>
    <t>1005 Hpa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</si>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</sst>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6</xdr:col>
      <xdr:colOff>141514</xdr:colOff>
      <xdr:row>3</xdr:row>
      <xdr:rowOff>91440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0480"/>
          <a:ext cx="3189514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1" workbookViewId="0">
      <selection activeCell="A69" sqref="A69:L7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AZ25-056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RFD SEASAVA</v>
      </c>
      <c r="D12" s="156"/>
      <c r="E12" s="157"/>
      <c r="F12" s="147"/>
      <c r="G12" s="148">
        <f>QUADRO!J7</f>
        <v>12</v>
      </c>
      <c r="H12" s="147"/>
      <c r="I12" s="159" t="str">
        <f>QUADRO!C7</f>
        <v>42458000300468</v>
      </c>
      <c r="J12" s="160"/>
      <c r="K12" s="146" t="str">
        <f>QUADRO!G79</f>
        <v>05/2007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301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75255</v>
      </c>
      <c r="D19" s="180"/>
      <c r="E19" s="180"/>
      <c r="F19" s="181"/>
      <c r="G19" s="162">
        <f>QUADRO!I62</f>
        <v>4.7699999999999996</v>
      </c>
      <c r="H19" s="162"/>
      <c r="I19" s="162" t="str">
        <f>QUADRO!I64</f>
        <v>0,140</v>
      </c>
      <c r="J19" s="162"/>
      <c r="K19" s="163" t="str">
        <f>QUADRO!I66</f>
        <v>11/18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SIMPL. REDUZ.</v>
      </c>
      <c r="H26" s="193"/>
      <c r="I26" s="173" t="str">
        <f>QUADRO!C7</f>
        <v>42458000300468</v>
      </c>
      <c r="J26" s="174"/>
      <c r="K26" s="175">
        <f>QUADRO!F81+365</f>
        <v>46100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305</v>
      </c>
      <c r="H34" s="166"/>
      <c r="I34" s="165"/>
      <c r="J34" s="166"/>
      <c r="K34" s="173" t="str">
        <f>QUADRO!J13</f>
        <v>05/26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306</v>
      </c>
      <c r="F40" s="190"/>
      <c r="G40" s="35" t="s">
        <v>52</v>
      </c>
      <c r="H40" s="166" t="s">
        <v>321</v>
      </c>
      <c r="I40" s="35" t="s">
        <v>73</v>
      </c>
      <c r="J40" s="166" t="s">
        <v>306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332</v>
      </c>
      <c r="F42" s="193"/>
      <c r="G42" s="35" t="s">
        <v>54</v>
      </c>
      <c r="H42" s="189" t="s">
        <v>318</v>
      </c>
      <c r="I42" s="35" t="s">
        <v>54</v>
      </c>
      <c r="J42" s="189" t="s">
        <v>332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45735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46100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/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307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308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84</v>
      </c>
      <c r="B57" s="145"/>
      <c r="C57" s="22"/>
      <c r="D57" s="142" t="s">
        <v>322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 xml:space="preserve">ANDRÉ E TIAGO 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320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306" t="s">
        <v>335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3" t="s">
        <v>86</v>
      </c>
      <c r="E3" s="223"/>
      <c r="F3" s="223"/>
      <c r="G3" s="223"/>
      <c r="H3" s="224" t="s">
        <v>87</v>
      </c>
      <c r="I3" s="226"/>
      <c r="J3" s="227"/>
    </row>
    <row r="4" spans="2:15" s="58" customFormat="1" ht="23.4" customHeight="1" x14ac:dyDescent="0.4">
      <c r="B4" s="56" t="s">
        <v>88</v>
      </c>
      <c r="C4" s="57"/>
      <c r="D4" s="228" t="s">
        <v>89</v>
      </c>
      <c r="E4" s="228"/>
      <c r="F4" s="228"/>
      <c r="G4" s="228"/>
      <c r="H4" s="225"/>
      <c r="I4" s="227"/>
      <c r="J4" s="227"/>
    </row>
    <row r="5" spans="2:15" s="58" customFormat="1" ht="23.4" customHeight="1" x14ac:dyDescent="0.4">
      <c r="B5" s="56" t="s">
        <v>90</v>
      </c>
      <c r="C5" s="56"/>
      <c r="H5" s="229" t="s">
        <v>91</v>
      </c>
      <c r="I5" s="231" t="s">
        <v>329</v>
      </c>
      <c r="J5" s="23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30"/>
      <c r="I6" s="233"/>
      <c r="J6" s="233"/>
    </row>
    <row r="7" spans="2:15" ht="23.4" customHeight="1" x14ac:dyDescent="0.3">
      <c r="B7" s="59" t="s">
        <v>92</v>
      </c>
      <c r="C7" s="243" t="s">
        <v>311</v>
      </c>
      <c r="D7" s="59" t="s">
        <v>93</v>
      </c>
      <c r="E7" s="245" t="s">
        <v>319</v>
      </c>
      <c r="F7" s="246"/>
      <c r="G7" s="60" t="s">
        <v>94</v>
      </c>
      <c r="H7" s="245" t="s">
        <v>302</v>
      </c>
      <c r="I7" s="254"/>
      <c r="J7" s="257">
        <v>12</v>
      </c>
    </row>
    <row r="8" spans="2:15" ht="23.4" customHeight="1" x14ac:dyDescent="0.3">
      <c r="B8" s="61" t="s">
        <v>95</v>
      </c>
      <c r="C8" s="244"/>
      <c r="D8" s="61" t="s">
        <v>96</v>
      </c>
      <c r="E8" s="247"/>
      <c r="F8" s="248"/>
      <c r="G8" s="62" t="s">
        <v>97</v>
      </c>
      <c r="H8" s="255"/>
      <c r="I8" s="256"/>
      <c r="J8" s="258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323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 t="s">
        <v>323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330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331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314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303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304</v>
      </c>
      <c r="G47" s="61"/>
      <c r="H47" s="81"/>
      <c r="I47" s="105"/>
      <c r="J47" s="106" t="s">
        <v>332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313</v>
      </c>
      <c r="D49" s="61" t="s">
        <v>213</v>
      </c>
      <c r="E49" s="81"/>
      <c r="F49" s="80"/>
      <c r="G49" s="61"/>
      <c r="H49" s="109"/>
      <c r="I49" s="105"/>
      <c r="J49" s="106" t="s">
        <v>332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 t="s">
        <v>318</v>
      </c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49" t="s">
        <v>232</v>
      </c>
      <c r="H56" s="250"/>
      <c r="I56" s="251" t="s">
        <v>315</v>
      </c>
      <c r="J56" s="252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8" t="s">
        <v>235</v>
      </c>
      <c r="H57" s="239"/>
      <c r="I57" s="235"/>
      <c r="J57" s="253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0" t="s">
        <v>238</v>
      </c>
      <c r="H58" s="241"/>
      <c r="I58" s="234" t="s">
        <v>316</v>
      </c>
      <c r="J58" s="236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8" t="s">
        <v>241</v>
      </c>
      <c r="H59" s="239"/>
      <c r="I59" s="235"/>
      <c r="J59" s="237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0" t="s">
        <v>244</v>
      </c>
      <c r="H60" s="241"/>
      <c r="I60" s="234" t="s">
        <v>317</v>
      </c>
      <c r="J60" s="236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8" t="s">
        <v>247</v>
      </c>
      <c r="H61" s="239"/>
      <c r="I61" s="235"/>
      <c r="J61" s="237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2" t="s">
        <v>250</v>
      </c>
      <c r="H62" s="241"/>
      <c r="I62" s="259">
        <v>4.7699999999999996</v>
      </c>
      <c r="J62" s="261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333</v>
      </c>
      <c r="G63" s="263" t="s">
        <v>253</v>
      </c>
      <c r="H63" s="239"/>
      <c r="I63" s="260"/>
      <c r="J63" s="262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0" t="s">
        <v>256</v>
      </c>
      <c r="H64" s="241"/>
      <c r="I64" s="234" t="s">
        <v>310</v>
      </c>
      <c r="J64" s="236"/>
      <c r="K64" s="74"/>
    </row>
    <row r="65" spans="1:16" ht="23.4" customHeight="1" x14ac:dyDescent="0.4">
      <c r="B65" s="63" t="s">
        <v>257</v>
      </c>
      <c r="C65" s="77"/>
      <c r="D65" s="61" t="s">
        <v>258</v>
      </c>
      <c r="E65" s="81"/>
      <c r="F65" s="109"/>
      <c r="G65" s="238" t="s">
        <v>259</v>
      </c>
      <c r="H65" s="239"/>
      <c r="I65" s="235"/>
      <c r="J65" s="237"/>
    </row>
    <row r="66" spans="1:16" ht="23.4" customHeight="1" x14ac:dyDescent="0.4">
      <c r="B66" s="59" t="s">
        <v>260</v>
      </c>
      <c r="C66" s="71"/>
      <c r="D66" s="59" t="s">
        <v>261</v>
      </c>
      <c r="E66" s="116"/>
      <c r="F66" s="71"/>
      <c r="G66" s="242" t="s">
        <v>262</v>
      </c>
      <c r="H66" s="241"/>
      <c r="I66" s="234" t="s">
        <v>312</v>
      </c>
      <c r="J66" s="236"/>
    </row>
    <row r="67" spans="1:16" ht="23.4" customHeight="1" x14ac:dyDescent="0.4">
      <c r="B67" s="61" t="s">
        <v>263</v>
      </c>
      <c r="C67" s="80"/>
      <c r="D67" s="61" t="s">
        <v>264</v>
      </c>
      <c r="E67" s="81"/>
      <c r="F67" s="83"/>
      <c r="G67" s="263" t="s">
        <v>265</v>
      </c>
      <c r="H67" s="239"/>
      <c r="I67" s="235"/>
      <c r="J67" s="237"/>
    </row>
    <row r="68" spans="1:16" ht="5.25" customHeight="1" x14ac:dyDescent="0.3">
      <c r="B68" s="276"/>
      <c r="C68" s="277"/>
      <c r="D68" s="277"/>
      <c r="E68" s="277"/>
      <c r="F68" s="277"/>
      <c r="G68" s="277"/>
      <c r="H68" s="277"/>
      <c r="I68" s="277"/>
      <c r="J68" s="278"/>
    </row>
    <row r="69" spans="1:16" ht="21" x14ac:dyDescent="0.3">
      <c r="B69" s="264" t="s">
        <v>266</v>
      </c>
      <c r="C69" s="117" t="s">
        <v>267</v>
      </c>
      <c r="D69" s="268" t="s">
        <v>327</v>
      </c>
      <c r="E69" s="269"/>
      <c r="F69" s="118" t="s">
        <v>268</v>
      </c>
      <c r="G69" s="119" t="s">
        <v>269</v>
      </c>
      <c r="H69" s="272" t="s">
        <v>328</v>
      </c>
      <c r="I69" s="119" t="s">
        <v>270</v>
      </c>
      <c r="J69" s="274" t="s">
        <v>328</v>
      </c>
    </row>
    <row r="70" spans="1:16" ht="21.6" customHeight="1" x14ac:dyDescent="0.3">
      <c r="B70" s="265"/>
      <c r="C70" s="120" t="s">
        <v>271</v>
      </c>
      <c r="D70" s="270"/>
      <c r="E70" s="271"/>
      <c r="F70" s="121" t="s">
        <v>272</v>
      </c>
      <c r="G70" s="122" t="s">
        <v>273</v>
      </c>
      <c r="H70" s="273"/>
      <c r="I70" s="122" t="s">
        <v>274</v>
      </c>
      <c r="J70" s="275"/>
    </row>
    <row r="71" spans="1:16" ht="21" x14ac:dyDescent="0.3">
      <c r="B71" s="266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2" t="s">
        <v>334</v>
      </c>
      <c r="I71" s="119" t="s">
        <v>270</v>
      </c>
      <c r="J71" s="272" t="s">
        <v>334</v>
      </c>
    </row>
    <row r="72" spans="1:16" ht="42" customHeight="1" x14ac:dyDescent="0.3">
      <c r="B72" s="267"/>
      <c r="C72" s="125">
        <v>0.375</v>
      </c>
      <c r="D72" s="125">
        <v>0.41666666666666669</v>
      </c>
      <c r="E72" s="126" t="s">
        <v>279</v>
      </c>
      <c r="F72" s="121" t="s">
        <v>280</v>
      </c>
      <c r="G72" s="127" t="s">
        <v>273</v>
      </c>
      <c r="H72" s="273"/>
      <c r="I72" s="127" t="s">
        <v>274</v>
      </c>
      <c r="J72" s="273"/>
    </row>
    <row r="73" spans="1:16" ht="21.6" customHeight="1" x14ac:dyDescent="0.3">
      <c r="B73" s="128" t="s">
        <v>281</v>
      </c>
      <c r="C73" s="279">
        <v>85.2</v>
      </c>
      <c r="D73" s="279">
        <v>84.5</v>
      </c>
      <c r="E73" s="281">
        <f>1-(D73/C73)</f>
        <v>8.2159624413146171E-3</v>
      </c>
      <c r="F73" s="283" t="s">
        <v>282</v>
      </c>
      <c r="G73" s="214"/>
      <c r="H73" s="215"/>
      <c r="I73" s="215"/>
      <c r="J73" s="216"/>
      <c r="M73" s="214"/>
      <c r="N73" s="215"/>
      <c r="O73" s="215"/>
      <c r="P73" s="216"/>
    </row>
    <row r="74" spans="1:16" ht="21.6" customHeight="1" x14ac:dyDescent="0.3">
      <c r="B74" s="129" t="s">
        <v>283</v>
      </c>
      <c r="C74" s="280"/>
      <c r="D74" s="280"/>
      <c r="E74" s="282"/>
      <c r="F74" s="284"/>
      <c r="G74" s="217"/>
      <c r="H74" s="218"/>
      <c r="I74" s="218"/>
      <c r="J74" s="219"/>
      <c r="M74" s="217"/>
      <c r="N74" s="218"/>
      <c r="O74" s="218"/>
      <c r="P74" s="219"/>
    </row>
    <row r="75" spans="1:16" ht="21.6" customHeight="1" x14ac:dyDescent="0.3">
      <c r="B75" s="128" t="s">
        <v>284</v>
      </c>
      <c r="C75" s="279">
        <v>91.4</v>
      </c>
      <c r="D75" s="279">
        <v>89.7</v>
      </c>
      <c r="E75" s="281">
        <f>1-(D75/C75)</f>
        <v>1.8599562363238564E-2</v>
      </c>
      <c r="F75" s="284"/>
      <c r="G75" s="217"/>
      <c r="H75" s="218"/>
      <c r="I75" s="218"/>
      <c r="J75" s="219"/>
      <c r="M75" s="217"/>
      <c r="N75" s="218"/>
      <c r="O75" s="218"/>
      <c r="P75" s="219"/>
    </row>
    <row r="76" spans="1:16" ht="21.6" customHeight="1" x14ac:dyDescent="0.3">
      <c r="B76" s="129" t="s">
        <v>285</v>
      </c>
      <c r="C76" s="280"/>
      <c r="D76" s="280"/>
      <c r="E76" s="282"/>
      <c r="F76" s="284"/>
      <c r="G76" s="217"/>
      <c r="H76" s="218"/>
      <c r="I76" s="218"/>
      <c r="J76" s="219"/>
      <c r="M76" s="217"/>
      <c r="N76" s="218"/>
      <c r="O76" s="218"/>
      <c r="P76" s="219"/>
    </row>
    <row r="77" spans="1:16" ht="21" customHeight="1" x14ac:dyDescent="0.3">
      <c r="B77" s="128" t="s">
        <v>286</v>
      </c>
      <c r="C77" s="286"/>
      <c r="D77" s="286"/>
      <c r="E77" s="296" t="e">
        <f>1-(D77/C77)</f>
        <v>#DIV/0!</v>
      </c>
      <c r="F77" s="284"/>
      <c r="G77" s="217"/>
      <c r="H77" s="218"/>
      <c r="I77" s="218"/>
      <c r="J77" s="219"/>
      <c r="M77" s="217"/>
      <c r="N77" s="218"/>
      <c r="O77" s="218"/>
      <c r="P77" s="219"/>
    </row>
    <row r="78" spans="1:16" ht="21" customHeight="1" x14ac:dyDescent="0.3">
      <c r="B78" s="129" t="s">
        <v>287</v>
      </c>
      <c r="C78" s="287"/>
      <c r="D78" s="287"/>
      <c r="E78" s="297"/>
      <c r="F78" s="285"/>
      <c r="G78" s="220"/>
      <c r="H78" s="221"/>
      <c r="I78" s="221"/>
      <c r="J78" s="222"/>
      <c r="M78" s="220"/>
      <c r="N78" s="221"/>
      <c r="O78" s="221"/>
      <c r="P78" s="222"/>
    </row>
    <row r="79" spans="1:16" s="74" customFormat="1" ht="21.6" customHeight="1" x14ac:dyDescent="0.3">
      <c r="A79" s="55"/>
      <c r="B79" s="128" t="s">
        <v>288</v>
      </c>
      <c r="C79" s="286"/>
      <c r="D79" s="286"/>
      <c r="E79" s="296" t="e">
        <f>1-(D79/C79)</f>
        <v>#DIV/0!</v>
      </c>
      <c r="F79" s="130" t="s">
        <v>289</v>
      </c>
      <c r="G79" s="298" t="s">
        <v>326</v>
      </c>
      <c r="H79" s="300"/>
      <c r="I79" s="301"/>
      <c r="J79" s="302"/>
      <c r="K79" s="55"/>
    </row>
    <row r="80" spans="1:16" ht="21" customHeight="1" x14ac:dyDescent="0.3">
      <c r="B80" s="129" t="s">
        <v>290</v>
      </c>
      <c r="C80" s="287"/>
      <c r="D80" s="287"/>
      <c r="E80" s="297"/>
      <c r="F80" s="131" t="s">
        <v>291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292</v>
      </c>
      <c r="C81" s="290" t="s">
        <v>309</v>
      </c>
      <c r="D81" s="292"/>
      <c r="E81" s="133" t="s">
        <v>293</v>
      </c>
      <c r="F81" s="288">
        <v>45735</v>
      </c>
      <c r="G81" s="133" t="s">
        <v>294</v>
      </c>
      <c r="H81" s="290"/>
      <c r="I81" s="291"/>
      <c r="J81" s="292"/>
      <c r="K81" s="74"/>
    </row>
    <row r="82" spans="1:11" ht="28.2" customHeight="1" x14ac:dyDescent="0.3">
      <c r="B82" s="134" t="s">
        <v>295</v>
      </c>
      <c r="C82" s="293"/>
      <c r="D82" s="295"/>
      <c r="E82" s="135" t="s">
        <v>296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297</v>
      </c>
    </row>
  </sheetData>
  <mergeCells count="61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I62:I63"/>
    <mergeCell ref="J62:J63"/>
    <mergeCell ref="G63:H63"/>
    <mergeCell ref="G64:H64"/>
    <mergeCell ref="I64:I65"/>
    <mergeCell ref="J64:J65"/>
    <mergeCell ref="G65:H65"/>
    <mergeCell ref="C7:C8"/>
    <mergeCell ref="E7:F8"/>
    <mergeCell ref="G56:H56"/>
    <mergeCell ref="I56:I57"/>
    <mergeCell ref="J56:J57"/>
    <mergeCell ref="G57:H57"/>
    <mergeCell ref="H7:I8"/>
    <mergeCell ref="J7:J8"/>
    <mergeCell ref="M73:P78"/>
    <mergeCell ref="D3:G3"/>
    <mergeCell ref="H3:H4"/>
    <mergeCell ref="I3:J4"/>
    <mergeCell ref="D4:G4"/>
    <mergeCell ref="H5:H6"/>
    <mergeCell ref="I5:J6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2025-03-20T11:46:50Z</cp:lastPrinted>
  <dcterms:created xsi:type="dcterms:W3CDTF">2001-08-01T17:12:05Z</dcterms:created>
  <dcterms:modified xsi:type="dcterms:W3CDTF">2025-03-20T11:50:12Z</dcterms:modified>
</cp:coreProperties>
</file>