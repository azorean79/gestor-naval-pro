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F477208B-322B-4392-8118-E45A5637252E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<sst xmlns="http://schemas.openxmlformats.org/spreadsheetml/2006/main" count="374" uniqueCount="338">
  <si>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</si>
  <si>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</si>
  <si>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</si>
  <si>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</si>
  <si>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</si>
  <si>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</si>
  <si>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</si>
  <si>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</si>
  <si>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</si>
  <si>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</si>
  <si>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</si>
  <si>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</si>
  <si>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</si>
  <si>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</si>
  <si>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</si>
  <si>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</si>
  <si>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</si>
  <si>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</si>
  <si>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</si>
  <si>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</si>
  <si>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</si>
  <si>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</si>
  <si>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</si>
  <si>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</si>
  <si>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</si>
  <si>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</si>
  <si>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</si>
  <si>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</si>
  <si>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</si>
  <si>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</si>
  <si>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</si>
  <si>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</si>
  <si>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</si>
  <si>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</si>
  <si>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</si>
  <si>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</si>
  <si>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</si>
  <si>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</si>
  <si>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</si>
  <si>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</si>
  <si>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</si>
  <si>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</si>
  <si>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</si>
  <si>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</si>
  <si>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</si>
  <si>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</si>
  <si>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</si>
  <si>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</si>
  <si>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</si>
  <si>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</si>
  <si>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</si>
  <si>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</si>
  <si>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</si>
  <si>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</si>
  <si>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</si>
  <si>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</si>
  <si>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</si>
  <si>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</si>
  <si>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</si>
  <si>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</si>
  <si>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</si>
  <si>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</si>
  <si>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</si>
  <si>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</si>
  <si>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</si>
  <si>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</si>
  <si>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</si>
  <si>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</si>
  <si>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</si>
  <si>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</si>
  <si>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</si>
  <si>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</si>
  <si>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</si>
  <si>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</si>
  <si>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</si>
  <si>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</si>
  <si>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</si>
  <si>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</si>
  <si>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</si>
  <si>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</si>
  <si>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</si>
  <si>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</si>
  <si>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</si>
  <si>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</si>
  <si>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</si>
  <si>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</si>
  <si>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</si>
  <si>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</si>
  <si>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</si>
  <si>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</si>
  <si>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</si>
  <si>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</si>
  <si>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</si>
  <si>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</si>
  <si>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</si>
  <si>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</si>
  <si>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</si>
  <si>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</si>
  <si>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</si>
  <si>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</si>
  <si>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</si>
  <si>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</si>
  <si>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</si>
  <si>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</si>
  <si>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</si>
  <si>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</si>
  <si>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</si>
  <si>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</si>
  <si>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</si>
  <si>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</si>
  <si>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</si>
  <si>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</si>
  <si>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</si>
  <si>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</si>
  <si>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</si>
  <si>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</si>
  <si>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</si>
  <si>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</si>
  <si>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</si>
  <si>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</si>
  <si>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</si>
  <si>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</si>
  <si>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</si>
  <si>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</si>
  <si>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</si>
  <si>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</si>
  <si>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</si>
  <si>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</si>
  <si>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</si>
  <si>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</si>
  <si>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</si>
  <si>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</si>
  <si>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</si>
  <si>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</si>
  <si>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</si>
  <si>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</si>
  <si>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</si>
  <si>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</si>
  <si>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</si>
  <si>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</si>
  <si>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</si>
  <si>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</si>
  <si>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</si>
  <si>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</si>
  <si>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</si>
  <si>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</si>
  <si>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</si>
  <si>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</si>
  <si>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</si>
  <si>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</si>
  <si>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</si>
  <si>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</si>
  <si>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</si>
  <si>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</si>
  <si>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</si>
  <si>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</si>
  <si>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</si>
  <si>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</si>
  <si>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</si>
  <si>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</si>
  <si>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</si>
  <si>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</si>
  <si>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</si>
  <si>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</si>
  <si>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</si>
  <si>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</si>
  <si>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</si>
  <si>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</si>
  <si>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</si>
  <si>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</si>
  <si>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</si>
  <si>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</si>
  <si>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</si>
  <si>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</si>
  <si>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</si>
  <si>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</si>
  <si>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</si>
  <si>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</si>
  <si>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</si>
  <si>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</si>
  <si>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</si>
  <si>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</si>
  <si>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</si>
  <si>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</si>
  <si>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</si>
  <si>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</si>
  <si>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</si>
  <si>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</si>
  <si>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</si>
  <si>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</si>
  <si>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</si>
  <si>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</si>
  <si>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</si>
  <si>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</si>
  <si>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</si>
  <si>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</si>
  <si>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</si>
  <si>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</si>
  <si>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</si>
  <si>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</si>
  <si>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</si>
  <si>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</si>
  <si>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</si>
  <si>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</si>
  <si>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</si>
  <si>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</si>
  <si>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</si>
  <si>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</si>
  <si>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</si>
  <si>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</si>
  <si>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</si>
  <si>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</si>
  <si>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</si>
  <si>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</si>
  <si>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</si>
  <si>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</si>
  <si>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</si>
  <si>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</si>
  <si>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</si>
  <si>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</si>
  <si>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</si>
  <si>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</si>
  <si>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</si>
  <si>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</si>
  <si>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</si>
  <si>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</si>
  <si>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</si>
  <si>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</si>
  <si>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</si>
  <si>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</si>
  <si>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</si>
  <si>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</si>
  <si>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</si>
  <si>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</si>
  <si>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</si>
  <si>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</si>
  <si>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</si>
  <si>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</si>
  <si>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</si>
  <si>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</si>
  <si>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</si>
  <si>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</si>
  <si>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</si>
  <si>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</si>
  <si>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</si>
  <si>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</si>
  <si>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</si>
  <si>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</si>
  <si>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</si>
  <si>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</si>
  <si>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</si>
  <si>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</si>
  <si>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</si>
  <si>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</si>
  <si>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</si>
  <si>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</si>
  <si>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</si>
  <si>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</si>
  <si>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</si>
  <si>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</si>
  <si>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</si>
  <si>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</si>
  <si>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</si>
  <si>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</si>
  <si>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</si>
  <si>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</si>
  <si>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</si>
  <si>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</si>
  <si>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</si>
  <si>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</si>
  <si>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</si>
  <si>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</si>
  <si>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</si>
  <si>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</si>
  <si>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</si>
  <si>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</si>
  <si>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</si>
  <si>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</si>
  <si>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</si>
  <si>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</si>
  <si>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</si>
  <si>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</si>
  <si>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</si>
  <si>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</si>
  <si>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</si>
  <si>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</si>
  <si>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</si>
  <si>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</si>
  <si>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</si>
  <si>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</si>
  <si>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</si>
  <si>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</si>
  <si>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</si>
  <si>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</si>
  <si>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</si>
  <si>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</si>
  <si>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</si>
  <si>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</si>
  <si>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</si>
  <si>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</si>
  <si>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</si>
  <si>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</si>
  <si>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</si>
  <si>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</si>
  <si>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</si>
  <si>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</si>
  <si>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</si>
  <si>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</si>
  <si>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</si>
  <si>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>A3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</si>
  <si>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</si>
  <si>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</si>
  <si>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</si>
  <si>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SIMPL. E</t>
  </si>
  <si>
    <t>GIST</t>
  </si>
  <si>
    <t>5017310300021</t>
  </si>
  <si>
    <t>00541</t>
  </si>
  <si>
    <t>10,304</t>
  </si>
  <si>
    <t>7,644</t>
  </si>
  <si>
    <t>0,160</t>
  </si>
  <si>
    <t>11/07</t>
  </si>
  <si>
    <t>08/2008</t>
  </si>
  <si>
    <t>YES</t>
  </si>
  <si>
    <t>PORTUGAL</t>
  </si>
  <si>
    <t>05/26</t>
  </si>
  <si>
    <t>JULIO CORREA</t>
  </si>
  <si>
    <t>04/27</t>
  </si>
  <si>
    <t>02/28</t>
  </si>
  <si>
    <t>GORETI PERINHO</t>
  </si>
  <si>
    <t>AZ25-077</t>
  </si>
  <si>
    <t>04/26</t>
  </si>
  <si>
    <t xml:space="preserve"> M1 02/28</t>
  </si>
  <si>
    <t>04/25</t>
  </si>
  <si>
    <t xml:space="preserve"> 06/28</t>
  </si>
  <si>
    <t>15 Cº</t>
  </si>
  <si>
    <t>998 Hpa</t>
  </si>
  <si>
    <t>05/2027</t>
  </si>
  <si>
    <t>MONIZ &amp; FILHOS, 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</si>
</sst>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workbookViewId="0">
      <selection activeCell="S61" sqref="S61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tr">
        <f>QUADRO!I5</f>
        <v>AZ25-077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>RFD SEASAVA</v>
      </c>
      <c r="D12" s="156"/>
      <c r="E12" s="157"/>
      <c r="F12" s="147"/>
      <c r="G12" s="148">
        <f>QUADRO!J7</f>
        <v>8</v>
      </c>
      <c r="H12" s="147"/>
      <c r="I12" s="159" t="str">
        <f>QUADRO!C7</f>
        <v>5017310300021</v>
      </c>
      <c r="J12" s="160"/>
      <c r="K12" s="146" t="str">
        <f>QUADRO!G79</f>
        <v>08/2008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302</v>
      </c>
      <c r="D15" s="158"/>
      <c r="E15" s="158"/>
      <c r="F15" s="151"/>
      <c r="G15" s="18">
        <v>10</v>
      </c>
      <c r="H15" s="12" t="s">
        <v>19</v>
      </c>
      <c r="I15" s="18">
        <v>1</v>
      </c>
      <c r="J15" s="12" t="s">
        <v>68</v>
      </c>
      <c r="K15" s="150">
        <v>6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00541</v>
      </c>
      <c r="D19" s="180"/>
      <c r="E19" s="180"/>
      <c r="F19" s="181"/>
      <c r="G19" s="162">
        <f>QUADRO!I62</f>
        <v>2.5</v>
      </c>
      <c r="H19" s="162"/>
      <c r="I19" s="162" t="str">
        <f>QUADRO!I64</f>
        <v>0,160</v>
      </c>
      <c r="J19" s="162"/>
      <c r="K19" s="163" t="str">
        <f>QUADRO!I66</f>
        <v>11/07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80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192" t="str">
        <f>QUADRO!F47</f>
        <v>SIMPL. E</v>
      </c>
      <c r="H26" s="193"/>
      <c r="I26" s="173" t="str">
        <f>QUADRO!C7</f>
        <v>5017310300021</v>
      </c>
      <c r="J26" s="174"/>
      <c r="K26" s="175">
        <f>QUADRO!F81+366</f>
        <v>46120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0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65" t="s">
        <v>305</v>
      </c>
      <c r="H34" s="166"/>
      <c r="I34" s="165"/>
      <c r="J34" s="166"/>
      <c r="K34" s="173" t="str">
        <f>QUADRO!J13</f>
        <v>05/2027</v>
      </c>
      <c r="L34" s="174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67"/>
      <c r="H35" s="168"/>
      <c r="I35" s="167"/>
      <c r="J35" s="168"/>
      <c r="K35" s="159"/>
      <c r="L35" s="16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1"/>
      <c r="D37" s="191"/>
      <c r="E37" s="191"/>
      <c r="F37" s="19"/>
      <c r="G37" s="191"/>
      <c r="H37" s="191"/>
      <c r="I37" s="191"/>
      <c r="J37" s="191"/>
      <c r="K37" s="191"/>
      <c r="L37" s="191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1" t="s">
        <v>322</v>
      </c>
      <c r="F40" s="190"/>
      <c r="G40" s="35" t="s">
        <v>52</v>
      </c>
      <c r="H40" s="166" t="s">
        <v>301</v>
      </c>
      <c r="I40" s="35" t="s">
        <v>73</v>
      </c>
      <c r="J40" s="166" t="s">
        <v>322</v>
      </c>
      <c r="K40" s="35" t="s">
        <v>52</v>
      </c>
      <c r="L40" s="166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4" t="s">
        <v>332</v>
      </c>
      <c r="F42" s="193"/>
      <c r="G42" s="35" t="s">
        <v>54</v>
      </c>
      <c r="H42" s="189"/>
      <c r="I42" s="35" t="s">
        <v>54</v>
      </c>
      <c r="J42" s="189" t="s">
        <v>332</v>
      </c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96">
        <f>QUADRO!F81</f>
        <v>45754</v>
      </c>
      <c r="D47" s="202"/>
      <c r="E47" s="202"/>
      <c r="F47" s="203"/>
      <c r="G47" s="148" t="str">
        <f>QUADRO!C81</f>
        <v xml:space="preserve">OREY TÉCNICA </v>
      </c>
      <c r="H47" s="156"/>
      <c r="I47" s="156"/>
      <c r="J47" s="147"/>
      <c r="K47" s="196">
        <f>C47+365</f>
        <v>46119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79</v>
      </c>
      <c r="D50" s="145"/>
      <c r="E50" s="145"/>
      <c r="F50" s="204" t="s">
        <v>312</v>
      </c>
      <c r="G50" s="205"/>
      <c r="H50" s="205"/>
      <c r="I50" s="205"/>
      <c r="J50" s="205"/>
      <c r="K50" s="205"/>
      <c r="L50" s="206"/>
      <c r="M50" s="4"/>
    </row>
    <row r="51" spans="1:13" ht="12.75" customHeight="1" x14ac:dyDescent="0.25">
      <c r="A51" s="4"/>
      <c r="B51" s="4"/>
      <c r="C51" s="197"/>
      <c r="D51" s="198"/>
      <c r="E51" s="198"/>
      <c r="F51" s="204"/>
      <c r="G51" s="205"/>
      <c r="H51" s="205"/>
      <c r="I51" s="205"/>
      <c r="J51" s="205"/>
      <c r="K51" s="205"/>
      <c r="L51" s="206"/>
      <c r="M51" s="4"/>
    </row>
    <row r="52" spans="1:13" ht="15" customHeight="1" x14ac:dyDescent="0.25">
      <c r="A52" s="2"/>
      <c r="B52" s="2"/>
      <c r="C52" s="199"/>
      <c r="D52" s="200"/>
      <c r="E52" s="200"/>
      <c r="F52" s="207"/>
      <c r="G52" s="208"/>
      <c r="H52" s="208"/>
      <c r="I52" s="208"/>
      <c r="J52" s="208"/>
      <c r="K52" s="208"/>
      <c r="L52" s="20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0" t="s">
        <v>306</v>
      </c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"/>
    </row>
    <row r="55" spans="1:13" ht="15" x14ac:dyDescent="0.25">
      <c r="A55" s="2"/>
      <c r="B55" s="140" t="s">
        <v>307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84</v>
      </c>
      <c r="B57" s="145"/>
      <c r="C57" s="22"/>
      <c r="D57" s="142" t="s">
        <v>323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12" t="s">
        <v>74</v>
      </c>
      <c r="J59" s="212"/>
      <c r="K59" s="212"/>
      <c r="L59" s="212"/>
      <c r="M59" s="23"/>
    </row>
    <row r="60" spans="1:13" ht="9.75" customHeight="1" x14ac:dyDescent="0.25">
      <c r="A60" s="213"/>
      <c r="B60" s="213"/>
      <c r="C60" s="41"/>
      <c r="D60" s="143"/>
      <c r="E60" s="143"/>
      <c r="F60" s="45"/>
      <c r="G60" s="11"/>
      <c r="H60" s="3"/>
      <c r="I60" s="195" t="s">
        <v>82</v>
      </c>
      <c r="J60" s="195"/>
      <c r="K60" s="195"/>
      <c r="L60" s="195"/>
      <c r="M60" s="2"/>
    </row>
    <row r="61" spans="1:13" s="24" customFormat="1" ht="14.1" customHeight="1" x14ac:dyDescent="0.25">
      <c r="A61" s="40" t="s">
        <v>85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72</v>
      </c>
      <c r="B63" s="145"/>
      <c r="C63" s="22"/>
      <c r="D63" s="144" t="str">
        <f>QUADRO!E7</f>
        <v>GORETI PERINHO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337</v>
      </c>
      <c r="E65" s="142"/>
      <c r="F65" s="142"/>
      <c r="G65" s="142"/>
      <c r="H65" s="142"/>
      <c r="I65" s="142"/>
      <c r="J65" s="211"/>
      <c r="K65" s="211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38" t="s">
        <v>311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81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zoomScale="48" zoomScaleNormal="48" workbookViewId="0">
      <selection activeCell="I13" sqref="I1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4" t="s">
        <v>86</v>
      </c>
      <c r="E3" s="214"/>
      <c r="F3" s="214"/>
      <c r="G3" s="214"/>
      <c r="H3" s="215" t="s">
        <v>87</v>
      </c>
      <c r="I3" s="217"/>
      <c r="J3" s="218"/>
    </row>
    <row r="4" spans="2:15" s="58" customFormat="1" ht="23.4" customHeight="1" x14ac:dyDescent="0.4">
      <c r="B4" s="56" t="s">
        <v>88</v>
      </c>
      <c r="C4" s="57"/>
      <c r="D4" s="219" t="s">
        <v>89</v>
      </c>
      <c r="E4" s="219"/>
      <c r="F4" s="219"/>
      <c r="G4" s="219"/>
      <c r="H4" s="216"/>
      <c r="I4" s="218"/>
      <c r="J4" s="218"/>
    </row>
    <row r="5" spans="2:15" s="58" customFormat="1" ht="23.4" customHeight="1" x14ac:dyDescent="0.4">
      <c r="B5" s="56" t="s">
        <v>90</v>
      </c>
      <c r="C5" s="56"/>
      <c r="H5" s="220" t="s">
        <v>91</v>
      </c>
      <c r="I5" s="222" t="s">
        <v>329</v>
      </c>
      <c r="J5" s="223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1"/>
      <c r="I6" s="224"/>
      <c r="J6" s="224"/>
    </row>
    <row r="7" spans="2:15" ht="23.4" customHeight="1" x14ac:dyDescent="0.3">
      <c r="B7" s="59" t="s">
        <v>92</v>
      </c>
      <c r="C7" s="225" t="s">
        <v>315</v>
      </c>
      <c r="D7" s="59" t="s">
        <v>93</v>
      </c>
      <c r="E7" s="227" t="s">
        <v>328</v>
      </c>
      <c r="F7" s="228"/>
      <c r="G7" s="60" t="s">
        <v>94</v>
      </c>
      <c r="H7" s="227" t="s">
        <v>303</v>
      </c>
      <c r="I7" s="239"/>
      <c r="J7" s="242">
        <v>8</v>
      </c>
    </row>
    <row r="8" spans="2:15" ht="23.4" customHeight="1" x14ac:dyDescent="0.3">
      <c r="B8" s="61" t="s">
        <v>95</v>
      </c>
      <c r="C8" s="226"/>
      <c r="D8" s="61" t="s">
        <v>96</v>
      </c>
      <c r="E8" s="229"/>
      <c r="F8" s="230"/>
      <c r="G8" s="62" t="s">
        <v>97</v>
      </c>
      <c r="H8" s="240"/>
      <c r="I8" s="241"/>
      <c r="J8" s="243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 t="s">
        <v>299</v>
      </c>
      <c r="J13" s="83" t="s">
        <v>336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326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 t="s">
        <v>324</v>
      </c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330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 t="s">
        <v>331</v>
      </c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 t="s">
        <v>327</v>
      </c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309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300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304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313</v>
      </c>
      <c r="G47" s="61"/>
      <c r="H47" s="81"/>
      <c r="I47" s="105"/>
      <c r="J47" s="106" t="s">
        <v>332</v>
      </c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314</v>
      </c>
      <c r="D49" s="61" t="s">
        <v>213</v>
      </c>
      <c r="E49" s="81"/>
      <c r="F49" s="80"/>
      <c r="G49" s="61"/>
      <c r="H49" s="109"/>
      <c r="I49" s="105"/>
      <c r="J49" s="106" t="s">
        <v>332</v>
      </c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31" t="s">
        <v>232</v>
      </c>
      <c r="H56" s="232"/>
      <c r="I56" s="233" t="s">
        <v>316</v>
      </c>
      <c r="J56" s="235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37" t="s">
        <v>235</v>
      </c>
      <c r="H57" s="238"/>
      <c r="I57" s="234"/>
      <c r="J57" s="236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47" t="s">
        <v>238</v>
      </c>
      <c r="H58" s="248"/>
      <c r="I58" s="244" t="s">
        <v>317</v>
      </c>
      <c r="J58" s="245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37" t="s">
        <v>241</v>
      </c>
      <c r="H59" s="238"/>
      <c r="I59" s="234"/>
      <c r="J59" s="246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47" t="s">
        <v>244</v>
      </c>
      <c r="H60" s="248"/>
      <c r="I60" s="244" t="s">
        <v>318</v>
      </c>
      <c r="J60" s="245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37" t="s">
        <v>247</v>
      </c>
      <c r="H61" s="238"/>
      <c r="I61" s="234"/>
      <c r="J61" s="246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49" t="s">
        <v>250</v>
      </c>
      <c r="H62" s="248"/>
      <c r="I62" s="250">
        <v>2.5</v>
      </c>
      <c r="J62" s="252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 t="s">
        <v>333</v>
      </c>
      <c r="G63" s="254" t="s">
        <v>253</v>
      </c>
      <c r="H63" s="238"/>
      <c r="I63" s="251"/>
      <c r="J63" s="253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47" t="s">
        <v>256</v>
      </c>
      <c r="H64" s="248"/>
      <c r="I64" s="244" t="s">
        <v>319</v>
      </c>
      <c r="J64" s="245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37" t="s">
        <v>259</v>
      </c>
      <c r="H65" s="238"/>
      <c r="I65" s="234"/>
      <c r="J65" s="246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49" t="s">
        <v>262</v>
      </c>
      <c r="H66" s="248"/>
      <c r="I66" s="244" t="s">
        <v>320</v>
      </c>
      <c r="J66" s="245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54" t="s">
        <v>265</v>
      </c>
      <c r="H67" s="238"/>
      <c r="I67" s="234"/>
      <c r="J67" s="246"/>
    </row>
    <row r="68" spans="1:11" ht="5.25" customHeight="1" x14ac:dyDescent="0.3">
      <c r="B68" s="267"/>
      <c r="C68" s="268"/>
      <c r="D68" s="268"/>
      <c r="E68" s="268"/>
      <c r="F68" s="268"/>
      <c r="G68" s="268"/>
      <c r="H68" s="268"/>
      <c r="I68" s="268"/>
      <c r="J68" s="269"/>
    </row>
    <row r="69" spans="1:11" ht="21" x14ac:dyDescent="0.3">
      <c r="B69" s="255" t="s">
        <v>266</v>
      </c>
      <c r="C69" s="117" t="s">
        <v>267</v>
      </c>
      <c r="D69" s="259" t="s">
        <v>310</v>
      </c>
      <c r="E69" s="260"/>
      <c r="F69" s="118" t="s">
        <v>268</v>
      </c>
      <c r="G69" s="119" t="s">
        <v>269</v>
      </c>
      <c r="H69" s="263" t="s">
        <v>334</v>
      </c>
      <c r="I69" s="119" t="s">
        <v>270</v>
      </c>
      <c r="J69" s="265" t="s">
        <v>334</v>
      </c>
    </row>
    <row r="70" spans="1:11" ht="21.6" customHeight="1" x14ac:dyDescent="0.3">
      <c r="B70" s="256"/>
      <c r="C70" s="120" t="s">
        <v>271</v>
      </c>
      <c r="D70" s="261"/>
      <c r="E70" s="262"/>
      <c r="F70" s="121" t="s">
        <v>272</v>
      </c>
      <c r="G70" s="122" t="s">
        <v>273</v>
      </c>
      <c r="H70" s="264"/>
      <c r="I70" s="122" t="s">
        <v>274</v>
      </c>
      <c r="J70" s="266"/>
    </row>
    <row r="71" spans="1:11" ht="21" x14ac:dyDescent="0.3">
      <c r="B71" s="257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63" t="s">
        <v>335</v>
      </c>
      <c r="I71" s="119" t="s">
        <v>270</v>
      </c>
      <c r="J71" s="263" t="s">
        <v>335</v>
      </c>
    </row>
    <row r="72" spans="1:11" ht="42" customHeight="1" x14ac:dyDescent="0.3">
      <c r="B72" s="258"/>
      <c r="C72" s="125">
        <v>0.40277777777777773</v>
      </c>
      <c r="D72" s="125">
        <v>0.44444444444444442</v>
      </c>
      <c r="E72" s="126" t="s">
        <v>279</v>
      </c>
      <c r="F72" s="121" t="s">
        <v>280</v>
      </c>
      <c r="G72" s="127" t="s">
        <v>273</v>
      </c>
      <c r="H72" s="264"/>
      <c r="I72" s="127" t="s">
        <v>274</v>
      </c>
      <c r="J72" s="264"/>
    </row>
    <row r="73" spans="1:11" ht="21.6" customHeight="1" x14ac:dyDescent="0.3">
      <c r="B73" s="128" t="s">
        <v>281</v>
      </c>
      <c r="C73" s="270">
        <v>203</v>
      </c>
      <c r="D73" s="270">
        <v>201</v>
      </c>
      <c r="E73" s="272">
        <f>1-(D73/C73)</f>
        <v>9.8522167487684609E-3</v>
      </c>
      <c r="F73" s="274" t="s">
        <v>282</v>
      </c>
      <c r="G73" s="277"/>
      <c r="H73" s="278"/>
      <c r="I73" s="278"/>
      <c r="J73" s="279"/>
    </row>
    <row r="74" spans="1:11" ht="21.6" customHeight="1" x14ac:dyDescent="0.3">
      <c r="B74" s="129" t="s">
        <v>283</v>
      </c>
      <c r="C74" s="271"/>
      <c r="D74" s="271"/>
      <c r="E74" s="273"/>
      <c r="F74" s="275"/>
      <c r="G74" s="280"/>
      <c r="H74" s="281"/>
      <c r="I74" s="281"/>
      <c r="J74" s="282"/>
    </row>
    <row r="75" spans="1:11" ht="21.6" customHeight="1" x14ac:dyDescent="0.3">
      <c r="B75" s="128" t="s">
        <v>284</v>
      </c>
      <c r="C75" s="270">
        <v>205</v>
      </c>
      <c r="D75" s="270">
        <v>199</v>
      </c>
      <c r="E75" s="272">
        <f>1-(D75/C75)</f>
        <v>2.9268292682926855E-2</v>
      </c>
      <c r="F75" s="275"/>
      <c r="G75" s="280"/>
      <c r="H75" s="281"/>
      <c r="I75" s="281"/>
      <c r="J75" s="282"/>
    </row>
    <row r="76" spans="1:11" ht="21.6" customHeight="1" x14ac:dyDescent="0.3">
      <c r="B76" s="129" t="s">
        <v>285</v>
      </c>
      <c r="C76" s="271"/>
      <c r="D76" s="271"/>
      <c r="E76" s="273"/>
      <c r="F76" s="275"/>
      <c r="G76" s="280"/>
      <c r="H76" s="281"/>
      <c r="I76" s="281"/>
      <c r="J76" s="282"/>
    </row>
    <row r="77" spans="1:11" ht="21" customHeight="1" x14ac:dyDescent="0.3">
      <c r="B77" s="128" t="s">
        <v>286</v>
      </c>
      <c r="C77" s="286"/>
      <c r="D77" s="286"/>
      <c r="E77" s="296" t="e">
        <f>1-(D77/C77)</f>
        <v>#DIV/0!</v>
      </c>
      <c r="F77" s="275"/>
      <c r="G77" s="280"/>
      <c r="H77" s="281"/>
      <c r="I77" s="281"/>
      <c r="J77" s="282"/>
    </row>
    <row r="78" spans="1:11" ht="21" customHeight="1" x14ac:dyDescent="0.3">
      <c r="B78" s="129" t="s">
        <v>287</v>
      </c>
      <c r="C78" s="287"/>
      <c r="D78" s="287"/>
      <c r="E78" s="297"/>
      <c r="F78" s="276"/>
      <c r="G78" s="283"/>
      <c r="H78" s="284"/>
      <c r="I78" s="284"/>
      <c r="J78" s="285"/>
    </row>
    <row r="79" spans="1:11" s="74" customFormat="1" ht="21.6" customHeight="1" x14ac:dyDescent="0.3">
      <c r="A79" s="55"/>
      <c r="B79" s="128" t="s">
        <v>288</v>
      </c>
      <c r="C79" s="286"/>
      <c r="D79" s="286"/>
      <c r="E79" s="296" t="e">
        <f>1-(D79/C79)</f>
        <v>#DIV/0!</v>
      </c>
      <c r="F79" s="130" t="s">
        <v>289</v>
      </c>
      <c r="G79" s="298" t="s">
        <v>321</v>
      </c>
      <c r="H79" s="300"/>
      <c r="I79" s="301"/>
      <c r="J79" s="302"/>
      <c r="K79" s="55"/>
    </row>
    <row r="80" spans="1:11" ht="21" customHeight="1" x14ac:dyDescent="0.3">
      <c r="B80" s="129" t="s">
        <v>290</v>
      </c>
      <c r="C80" s="287"/>
      <c r="D80" s="287"/>
      <c r="E80" s="297"/>
      <c r="F80" s="131" t="s">
        <v>291</v>
      </c>
      <c r="G80" s="299"/>
      <c r="H80" s="303"/>
      <c r="I80" s="304"/>
      <c r="J80" s="305"/>
    </row>
    <row r="81" spans="1:11" ht="30" customHeight="1" x14ac:dyDescent="0.3">
      <c r="A81" s="74"/>
      <c r="B81" s="132" t="s">
        <v>292</v>
      </c>
      <c r="C81" s="290" t="s">
        <v>308</v>
      </c>
      <c r="D81" s="292"/>
      <c r="E81" s="133" t="s">
        <v>293</v>
      </c>
      <c r="F81" s="288">
        <v>45754</v>
      </c>
      <c r="G81" s="133" t="s">
        <v>294</v>
      </c>
      <c r="H81" s="290" t="s">
        <v>325</v>
      </c>
      <c r="I81" s="291"/>
      <c r="J81" s="292"/>
      <c r="K81" s="74"/>
    </row>
    <row r="82" spans="1:11" ht="28.2" customHeight="1" x14ac:dyDescent="0.3">
      <c r="B82" s="134" t="s">
        <v>295</v>
      </c>
      <c r="C82" s="293"/>
      <c r="D82" s="295"/>
      <c r="E82" s="135" t="s">
        <v>296</v>
      </c>
      <c r="F82" s="289"/>
      <c r="G82" s="135" t="s">
        <v>0</v>
      </c>
      <c r="H82" s="293"/>
      <c r="I82" s="294"/>
      <c r="J82" s="295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2025-04-08T10:31:44Z</cp:lastPrinted>
  <dcterms:created xsi:type="dcterms:W3CDTF">2001-08-01T17:12:05Z</dcterms:created>
  <dcterms:modified xsi:type="dcterms:W3CDTF">2025-04-08T10:31:48Z</dcterms:modified>
</cp:coreProperties>
</file>