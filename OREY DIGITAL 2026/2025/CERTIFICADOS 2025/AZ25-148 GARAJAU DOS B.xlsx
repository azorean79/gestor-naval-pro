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BB02E10-5491-44D7-BC65-4D99EC4687F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<sst xmlns="http://schemas.openxmlformats.org/spreadsheetml/2006/main" count="365" uniqueCount="329">
  <si>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</si>
  <si>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</si>
  <si>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</si>
  <si>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</si>
  <si>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</si>
  <si>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</si>
  <si>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</si>
  <si>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</si>
  <si>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</si>
  <si>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</si>
  <si>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</si>
  <si>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</si>
  <si>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</si>
  <si>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</si>
  <si>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</si>
  <si>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</si>
  <si>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</si>
  <si>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</si>
  <si>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</si>
  <si>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</si>
  <si>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</si>
  <si>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</si>
  <si>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</si>
  <si>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</si>
  <si>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</si>
  <si>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</si>
  <si>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</si>
  <si>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</si>
  <si>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</si>
  <si>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</si>
  <si>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</si>
  <si>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</si>
  <si>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</si>
  <si>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</si>
  <si>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</si>
  <si>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</si>
  <si>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</si>
  <si>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</si>
  <si>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</si>
  <si>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</si>
  <si>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</si>
  <si>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</si>
  <si>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</si>
  <si>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</si>
  <si>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</si>
  <si>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</si>
  <si>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</si>
  <si>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</si>
  <si>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</si>
  <si>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</si>
  <si>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</si>
  <si>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</si>
  <si>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</si>
  <si>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</si>
  <si>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</si>
  <si>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</si>
  <si>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</si>
  <si>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</si>
  <si>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</si>
  <si>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</si>
  <si>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</si>
  <si>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</si>
  <si>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</si>
  <si>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</si>
  <si>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</si>
  <si>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</si>
  <si>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</si>
  <si>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</si>
  <si>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</si>
  <si>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</si>
  <si>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</si>
  <si>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</si>
  <si>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</si>
  <si>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</si>
  <si>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</si>
  <si>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</si>
  <si>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</si>
  <si>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</si>
  <si>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</si>
  <si>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</si>
  <si>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</si>
  <si>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</si>
  <si>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</si>
  <si>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</si>
  <si>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</si>
  <si>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</si>
  <si>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</si>
  <si>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</si>
  <si>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</si>
  <si>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</si>
  <si>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</si>
  <si>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</si>
  <si>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</si>
  <si>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</si>
  <si>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</si>
  <si>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</si>
  <si>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</si>
  <si>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</si>
  <si>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</si>
  <si>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</si>
  <si>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</si>
  <si>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</si>
  <si>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</si>
  <si>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</si>
  <si>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</si>
  <si>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</si>
  <si>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</si>
  <si>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</si>
  <si>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</si>
  <si>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</si>
  <si>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</si>
  <si>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</si>
  <si>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</si>
  <si>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</si>
  <si>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</si>
  <si>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</si>
  <si>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</si>
  <si>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</si>
  <si>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</si>
  <si>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</si>
  <si>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</si>
  <si>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</si>
  <si>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</si>
  <si>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</si>
  <si>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</si>
  <si>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</si>
  <si>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</si>
  <si>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</si>
  <si>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</si>
  <si>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</si>
  <si>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</si>
  <si>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</si>
  <si>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</si>
  <si>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</si>
  <si>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</si>
  <si>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</si>
  <si>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</si>
  <si>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</si>
  <si>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</si>
  <si>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</si>
  <si>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</si>
  <si>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</si>
  <si>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</si>
  <si>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</si>
  <si>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</si>
  <si>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</si>
  <si>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</si>
  <si>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</si>
  <si>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</si>
  <si>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</si>
  <si>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</si>
  <si>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</si>
  <si>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</si>
  <si>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</si>
  <si>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</si>
  <si>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</si>
  <si>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</si>
  <si>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</si>
  <si>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</si>
  <si>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</si>
  <si>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</si>
  <si>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</si>
  <si>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</si>
  <si>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</si>
  <si>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</si>
  <si>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</si>
  <si>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</si>
  <si>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</si>
  <si>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</si>
  <si>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</si>
  <si>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</si>
  <si>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</si>
  <si>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</si>
  <si>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</si>
  <si>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</si>
  <si>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</si>
  <si>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</si>
  <si>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</si>
  <si>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</si>
  <si>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</si>
  <si>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</si>
  <si>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</si>
  <si>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</si>
  <si>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</si>
  <si>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</si>
  <si>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</si>
  <si>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</si>
  <si>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</si>
  <si>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</si>
  <si>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</si>
  <si>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</si>
  <si>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</si>
  <si>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</si>
  <si>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</si>
  <si>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</si>
  <si>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</si>
  <si>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</si>
  <si>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</si>
  <si>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</si>
  <si>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</si>
  <si>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</si>
  <si>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</si>
  <si>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</si>
  <si>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</si>
  <si>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</si>
  <si>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</si>
  <si>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</si>
  <si>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</si>
  <si>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</si>
  <si>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</si>
  <si>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</si>
  <si>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</si>
  <si>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</si>
  <si>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</si>
  <si>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</si>
  <si>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</si>
  <si>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</si>
  <si>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</si>
  <si>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</si>
  <si>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</si>
  <si>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</si>
  <si>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</si>
  <si>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</si>
  <si>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</si>
  <si>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</si>
  <si>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</si>
  <si>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</si>
  <si>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</si>
  <si>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</si>
  <si>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</si>
  <si>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</si>
  <si>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</si>
  <si>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</si>
  <si>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</si>
  <si>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</si>
  <si>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</si>
  <si>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</si>
  <si>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</si>
  <si>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</si>
  <si>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</si>
  <si>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</si>
  <si>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</si>
  <si>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</si>
  <si>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</si>
  <si>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</si>
  <si>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</si>
  <si>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</si>
  <si>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</si>
  <si>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</si>
  <si>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</si>
  <si>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</si>
  <si>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</si>
  <si>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</si>
  <si>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</si>
  <si>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</si>
  <si>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</si>
  <si>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</si>
  <si>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</si>
  <si>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</si>
  <si>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</si>
  <si>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</si>
  <si>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</si>
  <si>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</si>
  <si>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</si>
  <si>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</si>
  <si>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</si>
  <si>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</si>
  <si>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</si>
  <si>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</si>
  <si>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</si>
  <si>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</si>
  <si>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</si>
  <si>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</si>
  <si>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</si>
  <si>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</si>
  <si>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</si>
  <si>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</si>
  <si>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</si>
  <si>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</si>
  <si>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</si>
  <si>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</si>
  <si>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</si>
  <si>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</si>
  <si>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</si>
  <si>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</si>
  <si>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</si>
  <si>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</si>
  <si>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</si>
  <si>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</si>
  <si>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</si>
  <si>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</si>
  <si>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</si>
  <si>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</si>
  <si>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</si>
  <si>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</si>
  <si>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</si>
  <si>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</si>
  <si>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</si>
  <si>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</si>
  <si>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</si>
  <si>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</si>
  <si>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</si>
  <si>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</si>
  <si>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</si>
  <si>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</si>
  <si>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</si>
  <si>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</si>
  <si>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</si>
  <si>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</si>
  <si>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18 Cº</t>
  </si>
  <si>
    <t>PVC</t>
  </si>
  <si>
    <t>05-05-2015</t>
  </si>
  <si>
    <t>0,120</t>
  </si>
  <si>
    <t>VTE99</t>
  </si>
  <si>
    <t>&lt; 24H</t>
  </si>
  <si>
    <t>(60)</t>
  </si>
  <si>
    <t>(3)</t>
  </si>
  <si>
    <t>EUROVINIL ISO 9650-2</t>
  </si>
  <si>
    <t>PICOS DE AVENTURA</t>
  </si>
  <si>
    <t>1009 Hpa</t>
  </si>
  <si>
    <t>04/15</t>
  </si>
  <si>
    <t>GARAJAU DOS</t>
  </si>
  <si>
    <t>79116159</t>
  </si>
  <si>
    <t>J47429</t>
  </si>
  <si>
    <t>-</t>
  </si>
  <si>
    <t>PORTUGAL</t>
  </si>
  <si>
    <t>04/26</t>
  </si>
  <si>
    <t>07/25</t>
  </si>
  <si>
    <t>AZ25-148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</si>
</sst>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D57" sqref="D57:E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4" t="s">
        <v>75</v>
      </c>
      <c r="J3" s="234"/>
      <c r="K3" s="230" t="str">
        <f>QUADRO!I5</f>
        <v>AZ25-148</v>
      </c>
      <c r="L3" s="23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5" t="s">
        <v>76</v>
      </c>
      <c r="J4" s="225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2" t="s">
        <v>67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6"/>
    </row>
    <row r="7" spans="1:13" x14ac:dyDescent="0.25">
      <c r="A7" s="225" t="s">
        <v>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4"/>
    </row>
    <row r="8" spans="1:13" ht="15" x14ac:dyDescent="0.25">
      <c r="A8" s="23"/>
      <c r="B8" s="233" t="s">
        <v>77</v>
      </c>
      <c r="C8" s="233"/>
      <c r="D8" s="233"/>
      <c r="E8" s="233"/>
      <c r="F8" s="233"/>
      <c r="G8" s="233"/>
      <c r="H8" s="233"/>
      <c r="I8" s="233"/>
      <c r="J8" s="233"/>
      <c r="K8" s="23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>EUROVINIL ISO 9650-2</v>
      </c>
      <c r="D12" s="165"/>
      <c r="E12" s="235"/>
      <c r="F12" s="166"/>
      <c r="G12" s="164">
        <f>QUADRO!J7</f>
        <v>10</v>
      </c>
      <c r="H12" s="166"/>
      <c r="I12" s="210" t="str">
        <f>QUADRO!C7</f>
        <v>79116159</v>
      </c>
      <c r="J12" s="211"/>
      <c r="K12" s="229" t="str">
        <f>QUADRO!G79</f>
        <v>05-05-2015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310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6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25" t="s">
        <v>25</v>
      </c>
      <c r="D18" s="225"/>
      <c r="E18" s="225"/>
      <c r="F18" s="8"/>
      <c r="G18" s="225" t="s">
        <v>26</v>
      </c>
      <c r="H18" s="225"/>
      <c r="I18" s="225" t="s">
        <v>27</v>
      </c>
      <c r="J18" s="225"/>
      <c r="K18" s="225" t="s">
        <v>28</v>
      </c>
      <c r="L18" s="225"/>
      <c r="M18" s="1"/>
    </row>
    <row r="19" spans="1:13" s="16" customFormat="1" ht="15" x14ac:dyDescent="0.25">
      <c r="A19" s="11"/>
      <c r="B19" s="11"/>
      <c r="C19" s="196" t="str">
        <f>QUADRO!I56</f>
        <v>J47429</v>
      </c>
      <c r="D19" s="197"/>
      <c r="E19" s="197"/>
      <c r="F19" s="198"/>
      <c r="G19" s="226">
        <f>QUADRO!I62</f>
        <v>2.85</v>
      </c>
      <c r="H19" s="226"/>
      <c r="I19" s="226" t="str">
        <f>QUADRO!I64</f>
        <v>0,120</v>
      </c>
      <c r="J19" s="226"/>
      <c r="K19" s="227" t="str">
        <f>QUADRO!I66</f>
        <v>04/15</v>
      </c>
      <c r="L19" s="228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26"/>
      <c r="H20" s="226"/>
      <c r="I20" s="226"/>
      <c r="J20" s="226"/>
      <c r="K20" s="227"/>
      <c r="L20" s="228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24"/>
      <c r="H21" s="224"/>
      <c r="I21" s="224"/>
      <c r="J21" s="224"/>
      <c r="K21" s="224"/>
      <c r="L21" s="224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24"/>
      <c r="H22" s="224"/>
      <c r="I22" s="224"/>
      <c r="J22" s="224"/>
      <c r="K22" s="224"/>
      <c r="L22" s="224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80</v>
      </c>
      <c r="B25" s="9"/>
      <c r="C25" s="189"/>
      <c r="D25" s="189"/>
      <c r="E25" s="189"/>
      <c r="F25" s="9"/>
      <c r="G25" s="225" t="s">
        <v>34</v>
      </c>
      <c r="H25" s="225"/>
      <c r="I25" s="225" t="s">
        <v>25</v>
      </c>
      <c r="J25" s="225"/>
      <c r="K25" s="225" t="s">
        <v>35</v>
      </c>
      <c r="L25" s="225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19" t="str">
        <f>QUADRO!F47</f>
        <v>&lt; 24H</v>
      </c>
      <c r="H26" s="195"/>
      <c r="I26" s="208" t="str">
        <f>QUADRO!C7</f>
        <v>79116159</v>
      </c>
      <c r="J26" s="209"/>
      <c r="K26" s="220">
        <f>QUADRO!F81+366+365+365</f>
        <v>46915</v>
      </c>
      <c r="L26" s="221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10"/>
      <c r="J27" s="211"/>
      <c r="K27" s="222"/>
      <c r="L27" s="223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16"/>
      <c r="H29" s="217"/>
      <c r="I29" s="216"/>
      <c r="J29" s="217"/>
      <c r="K29" s="216"/>
      <c r="L29" s="217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16"/>
      <c r="H31" s="217"/>
      <c r="I31" s="216"/>
      <c r="J31" s="217"/>
      <c r="K31" s="216"/>
      <c r="L31" s="217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16"/>
      <c r="J33" s="217"/>
      <c r="K33" s="216"/>
      <c r="L33" s="217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4"/>
      <c r="H34" s="192"/>
      <c r="I34" s="214"/>
      <c r="J34" s="192"/>
      <c r="K34" s="208"/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6"/>
      <c r="H35" s="217"/>
      <c r="I35" s="216"/>
      <c r="J35" s="217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301</v>
      </c>
      <c r="F40" s="174"/>
      <c r="G40" s="52" t="s">
        <v>52</v>
      </c>
      <c r="H40" s="192" t="s">
        <v>301</v>
      </c>
      <c r="I40" s="52" t="s">
        <v>73</v>
      </c>
      <c r="J40" s="192" t="s">
        <v>301</v>
      </c>
      <c r="K40" s="52" t="s">
        <v>52</v>
      </c>
      <c r="L40" s="192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/>
      <c r="F42" s="195"/>
      <c r="G42" s="52" t="s">
        <v>54</v>
      </c>
      <c r="H42" s="193"/>
      <c r="I42" s="52" t="s">
        <v>54</v>
      </c>
      <c r="J42" s="193"/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45819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C47+365+365+366</f>
        <v>46915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5" t="s">
        <v>79</v>
      </c>
      <c r="D50" s="188"/>
      <c r="E50" s="188"/>
      <c r="F50" s="179" t="s">
        <v>306</v>
      </c>
      <c r="G50" s="180"/>
      <c r="H50" s="180"/>
      <c r="I50" s="180"/>
      <c r="J50" s="180"/>
      <c r="K50" s="180"/>
      <c r="L50" s="181"/>
      <c r="M50" s="4"/>
    </row>
    <row r="51" spans="1:17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7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7" ht="15" x14ac:dyDescent="0.25">
      <c r="A55" s="12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8" t="s">
        <v>84</v>
      </c>
      <c r="B57" s="188"/>
      <c r="C57" s="30"/>
      <c r="D57" s="238" t="s">
        <v>325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89" t="s">
        <v>64</v>
      </c>
      <c r="B58" s="189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8" t="s">
        <v>65</v>
      </c>
      <c r="B59" s="188"/>
      <c r="C59" s="58" t="s">
        <v>1</v>
      </c>
      <c r="D59" s="239"/>
      <c r="E59" s="239"/>
      <c r="F59" s="64"/>
      <c r="G59" s="42"/>
      <c r="H59" s="40"/>
      <c r="I59" s="187" t="s">
        <v>74</v>
      </c>
      <c r="J59" s="187"/>
      <c r="K59" s="187"/>
      <c r="L59" s="187"/>
      <c r="M59" s="32"/>
      <c r="Q59" s="33" t="s">
        <v>1</v>
      </c>
    </row>
    <row r="60" spans="1:17" ht="9.75" customHeight="1" x14ac:dyDescent="0.25">
      <c r="A60" s="190"/>
      <c r="B60" s="190"/>
      <c r="C60" s="58"/>
      <c r="D60" s="239"/>
      <c r="E60" s="239"/>
      <c r="F60" s="64"/>
      <c r="G60" s="15"/>
      <c r="H60" s="11"/>
      <c r="I60" s="167" t="s">
        <v>82</v>
      </c>
      <c r="J60" s="167"/>
      <c r="K60" s="167"/>
      <c r="L60" s="167"/>
      <c r="M60" s="2"/>
    </row>
    <row r="61" spans="1:17" s="33" customFormat="1" ht="14.1" customHeight="1" x14ac:dyDescent="0.25">
      <c r="A61" s="57" t="s">
        <v>85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89" t="s">
        <v>66</v>
      </c>
      <c r="B62" s="189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8" t="s">
        <v>72</v>
      </c>
      <c r="B63" s="188"/>
      <c r="C63" s="30"/>
      <c r="D63" s="240" t="str">
        <f>QUADRO!E7</f>
        <v>GARAJAU DOS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89" t="s">
        <v>71</v>
      </c>
      <c r="B64" s="189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38" t="s">
        <v>318</v>
      </c>
      <c r="E65" s="238"/>
      <c r="F65" s="238"/>
      <c r="G65" s="238"/>
      <c r="H65" s="238"/>
      <c r="I65" s="238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38"/>
      <c r="E66" s="238"/>
      <c r="F66" s="238"/>
      <c r="G66" s="238"/>
      <c r="H66" s="238"/>
      <c r="I66" s="238"/>
      <c r="J66" s="225" t="s">
        <v>0</v>
      </c>
      <c r="K66" s="225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6" t="s">
        <v>305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</row>
    <row r="70" spans="1:13" x14ac:dyDescent="0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</row>
    <row r="71" spans="1:13" x14ac:dyDescent="0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</row>
    <row r="72" spans="1:13" x14ac:dyDescent="0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</row>
    <row r="73" spans="1:13" x14ac:dyDescent="0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</row>
    <row r="74" spans="1:13" x14ac:dyDescent="0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</row>
    <row r="75" spans="1:13" x14ac:dyDescent="0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</row>
    <row r="76" spans="1:13" x14ac:dyDescent="0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</row>
    <row r="77" spans="1:13" x14ac:dyDescent="0.25">
      <c r="G77" s="237" t="s">
        <v>81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86</v>
      </c>
      <c r="E3" s="322"/>
      <c r="F3" s="322"/>
      <c r="G3" s="322"/>
      <c r="H3" s="323" t="s">
        <v>87</v>
      </c>
      <c r="I3" s="325"/>
      <c r="J3" s="326"/>
    </row>
    <row r="4" spans="2:15" s="79" customFormat="1" ht="23.4" customHeight="1" x14ac:dyDescent="0.4">
      <c r="B4" s="77" t="s">
        <v>88</v>
      </c>
      <c r="C4" s="78"/>
      <c r="D4" s="327" t="s">
        <v>89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90</v>
      </c>
      <c r="C5" s="77"/>
      <c r="H5" s="329" t="s">
        <v>91</v>
      </c>
      <c r="I5" s="331" t="s">
        <v>328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92</v>
      </c>
      <c r="C7" s="306" t="s">
        <v>322</v>
      </c>
      <c r="D7" s="80" t="s">
        <v>93</v>
      </c>
      <c r="E7" s="308" t="s">
        <v>321</v>
      </c>
      <c r="F7" s="309"/>
      <c r="G7" s="81" t="s">
        <v>94</v>
      </c>
      <c r="H7" s="308" t="s">
        <v>317</v>
      </c>
      <c r="I7" s="317"/>
      <c r="J7" s="320">
        <v>10</v>
      </c>
    </row>
    <row r="8" spans="2:15" ht="23.4" customHeight="1" x14ac:dyDescent="0.3">
      <c r="B8" s="82" t="s">
        <v>95</v>
      </c>
      <c r="C8" s="307"/>
      <c r="D8" s="82" t="s">
        <v>96</v>
      </c>
      <c r="E8" s="310"/>
      <c r="F8" s="311"/>
      <c r="G8" s="83" t="s">
        <v>97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315</v>
      </c>
      <c r="J15" s="106" t="s">
        <v>326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327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316</v>
      </c>
      <c r="J19" s="106" t="s">
        <v>327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314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313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2" t="s">
        <v>232</v>
      </c>
      <c r="H56" s="313"/>
      <c r="I56" s="314" t="s">
        <v>323</v>
      </c>
      <c r="J56" s="315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5" t="s">
        <v>235</v>
      </c>
      <c r="H57" s="284"/>
      <c r="I57" s="280"/>
      <c r="J57" s="316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4" t="s">
        <v>238</v>
      </c>
      <c r="H58" s="278"/>
      <c r="I58" s="279" t="s">
        <v>324</v>
      </c>
      <c r="J58" s="281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5" t="s">
        <v>241</v>
      </c>
      <c r="H59" s="284"/>
      <c r="I59" s="280"/>
      <c r="J59" s="282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4" t="s">
        <v>244</v>
      </c>
      <c r="H60" s="278"/>
      <c r="I60" s="279" t="s">
        <v>324</v>
      </c>
      <c r="J60" s="281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5" t="s">
        <v>247</v>
      </c>
      <c r="H61" s="284"/>
      <c r="I61" s="280"/>
      <c r="J61" s="282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7" t="s">
        <v>250</v>
      </c>
      <c r="H62" s="278"/>
      <c r="I62" s="300">
        <v>2.85</v>
      </c>
      <c r="J62" s="302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84"/>
      <c r="I63" s="301"/>
      <c r="J63" s="303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4" t="s">
        <v>256</v>
      </c>
      <c r="H64" s="278"/>
      <c r="I64" s="279" t="s">
        <v>312</v>
      </c>
      <c r="J64" s="281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5" t="s">
        <v>259</v>
      </c>
      <c r="H65" s="284"/>
      <c r="I65" s="280"/>
      <c r="J65" s="282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7" t="s">
        <v>262</v>
      </c>
      <c r="H66" s="278"/>
      <c r="I66" s="279" t="s">
        <v>320</v>
      </c>
      <c r="J66" s="281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266</v>
      </c>
      <c r="C69" s="143" t="s">
        <v>267</v>
      </c>
      <c r="D69" s="292" t="s">
        <v>304</v>
      </c>
      <c r="E69" s="293"/>
      <c r="F69" s="144" t="s">
        <v>268</v>
      </c>
      <c r="G69" s="145" t="s">
        <v>269</v>
      </c>
      <c r="H69" s="296" t="s">
        <v>309</v>
      </c>
      <c r="I69" s="145" t="s">
        <v>270</v>
      </c>
      <c r="J69" s="298" t="s">
        <v>309</v>
      </c>
    </row>
    <row r="70" spans="1:11" ht="21.6" customHeight="1" x14ac:dyDescent="0.3">
      <c r="B70" s="289"/>
      <c r="C70" s="146" t="s">
        <v>271</v>
      </c>
      <c r="D70" s="294"/>
      <c r="E70" s="295"/>
      <c r="F70" s="147" t="s">
        <v>272</v>
      </c>
      <c r="G70" s="148" t="s">
        <v>273</v>
      </c>
      <c r="H70" s="297"/>
      <c r="I70" s="148" t="s">
        <v>274</v>
      </c>
      <c r="J70" s="299"/>
    </row>
    <row r="71" spans="1:11" ht="21" x14ac:dyDescent="0.3">
      <c r="B71" s="290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6" t="s">
        <v>319</v>
      </c>
      <c r="I71" s="145" t="s">
        <v>270</v>
      </c>
      <c r="J71" s="296" t="s">
        <v>319</v>
      </c>
    </row>
    <row r="72" spans="1:11" ht="42" customHeight="1" x14ac:dyDescent="0.3">
      <c r="B72" s="291"/>
      <c r="C72" s="151">
        <v>0.4236111111111111</v>
      </c>
      <c r="D72" s="151">
        <v>0.46527777777777773</v>
      </c>
      <c r="E72" s="152" t="s">
        <v>279</v>
      </c>
      <c r="F72" s="147" t="s">
        <v>280</v>
      </c>
      <c r="G72" s="153" t="s">
        <v>273</v>
      </c>
      <c r="H72" s="297"/>
      <c r="I72" s="153" t="s">
        <v>274</v>
      </c>
      <c r="J72" s="297"/>
    </row>
    <row r="73" spans="1:11" ht="21.6" customHeight="1" x14ac:dyDescent="0.3">
      <c r="B73" s="154" t="s">
        <v>281</v>
      </c>
      <c r="C73" s="261">
        <v>55.6</v>
      </c>
      <c r="D73" s="261">
        <v>54</v>
      </c>
      <c r="E73" s="263">
        <f>1-(D73/C73)</f>
        <v>2.877697841726623E-2</v>
      </c>
      <c r="F73" s="265" t="s">
        <v>282</v>
      </c>
      <c r="G73" s="268"/>
      <c r="H73" s="269"/>
      <c r="I73" s="269"/>
      <c r="J73" s="270"/>
    </row>
    <row r="74" spans="1:11" ht="21.6" customHeight="1" x14ac:dyDescent="0.3">
      <c r="B74" s="155" t="s">
        <v>283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284</v>
      </c>
      <c r="C75" s="261">
        <v>57.4</v>
      </c>
      <c r="D75" s="261">
        <v>56.9</v>
      </c>
      <c r="E75" s="263">
        <f>1-(D75/C75)</f>
        <v>8.7108013937282625E-3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285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286</v>
      </c>
      <c r="C77" s="249"/>
      <c r="D77" s="249"/>
      <c r="E77" s="251" t="e">
        <f>1-(D77/C77)</f>
        <v>#DIV/0!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287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288</v>
      </c>
      <c r="C79" s="249"/>
      <c r="D79" s="249"/>
      <c r="E79" s="251" t="e">
        <f>1-(D79/C79)</f>
        <v>#DIV/0!</v>
      </c>
      <c r="F79" s="156" t="s">
        <v>289</v>
      </c>
      <c r="G79" s="253" t="s">
        <v>311</v>
      </c>
      <c r="H79" s="255"/>
      <c r="I79" s="256"/>
      <c r="J79" s="257"/>
      <c r="K79" s="76"/>
    </row>
    <row r="80" spans="1:11" ht="21" customHeight="1" x14ac:dyDescent="0.3">
      <c r="B80" s="155" t="s">
        <v>290</v>
      </c>
      <c r="C80" s="250"/>
      <c r="D80" s="250"/>
      <c r="E80" s="252"/>
      <c r="F80" s="157" t="s">
        <v>291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292</v>
      </c>
      <c r="C81" s="243" t="s">
        <v>303</v>
      </c>
      <c r="D81" s="245"/>
      <c r="E81" s="159" t="s">
        <v>293</v>
      </c>
      <c r="F81" s="241">
        <v>45819</v>
      </c>
      <c r="G81" s="159" t="s">
        <v>294</v>
      </c>
      <c r="H81" s="243" t="s">
        <v>307</v>
      </c>
      <c r="I81" s="244"/>
      <c r="J81" s="245"/>
      <c r="K81" s="96"/>
    </row>
    <row r="82" spans="1:11" ht="28.2" customHeight="1" x14ac:dyDescent="0.3">
      <c r="B82" s="160" t="s">
        <v>295</v>
      </c>
      <c r="C82" s="246"/>
      <c r="D82" s="248"/>
      <c r="E82" s="161" t="s">
        <v>296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2024-01-25T10:57:15Z</cp:lastPrinted>
  <dcterms:created xsi:type="dcterms:W3CDTF">2001-08-01T17:12:05Z</dcterms:created>
  <dcterms:modified xsi:type="dcterms:W3CDTF">2025-07-04T10:47:06Z</dcterms:modified>
</cp:coreProperties>
</file>