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B7998E0-B3E3-403B-91D5-8FCAA1A4E492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<sst xmlns="http://schemas.openxmlformats.org/spreadsheetml/2006/main" count="368" uniqueCount="331">
  <si>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</si>
  <si>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</si>
  <si>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</si>
  <si>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</si>
  <si>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</si>
  <si>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</si>
  <si>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</si>
  <si>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</si>
  <si>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</si>
  <si>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</si>
  <si>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</si>
  <si>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</si>
  <si>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</si>
  <si>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</si>
  <si>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</si>
  <si>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</si>
  <si>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</si>
  <si>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</si>
  <si>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</si>
  <si>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</si>
  <si>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</si>
  <si>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</si>
  <si>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</si>
  <si>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</si>
  <si>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</si>
  <si>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</si>
  <si>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</si>
  <si>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</si>
  <si>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</si>
  <si>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</si>
  <si>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</si>
  <si>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</si>
  <si>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</si>
  <si>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</si>
  <si>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</si>
  <si>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</si>
  <si>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</si>
  <si>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</si>
  <si>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</si>
  <si>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</si>
  <si>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</si>
  <si>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</si>
  <si>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</si>
  <si>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</si>
  <si>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</si>
  <si>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</si>
  <si>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</si>
  <si>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</si>
  <si>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</si>
  <si>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</si>
  <si>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</si>
  <si>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</si>
  <si>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</si>
  <si>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</si>
  <si>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</si>
  <si>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</si>
  <si>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</si>
  <si>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</si>
  <si>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</si>
  <si>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</si>
  <si>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</si>
  <si>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</si>
  <si>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</si>
  <si>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</si>
  <si>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</si>
  <si>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</si>
  <si>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</si>
  <si>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</si>
  <si>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</si>
  <si>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</si>
  <si>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</si>
  <si>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</si>
  <si>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</si>
  <si>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</si>
  <si>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</si>
  <si>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</si>
  <si>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</si>
  <si>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</si>
  <si>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</si>
  <si>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</si>
  <si>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</si>
  <si>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</si>
  <si>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</si>
  <si>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</si>
  <si>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</si>
  <si>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</si>
  <si>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</si>
  <si>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</si>
  <si>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</si>
  <si>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</si>
  <si>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</si>
  <si>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</si>
  <si>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</si>
  <si>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</si>
  <si>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</si>
  <si>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</si>
  <si>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</si>
  <si>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</si>
  <si>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</si>
  <si>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</si>
  <si>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</si>
  <si>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</si>
  <si>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</si>
  <si>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</si>
  <si>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</si>
  <si>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</si>
  <si>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</si>
  <si>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</si>
  <si>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</si>
  <si>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</si>
  <si>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</si>
  <si>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</si>
  <si>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</si>
  <si>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</si>
  <si>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</si>
  <si>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</si>
  <si>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</si>
  <si>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</si>
  <si>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</si>
  <si>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</si>
  <si>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</si>
  <si>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</si>
  <si>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</si>
  <si>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</si>
  <si>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</si>
  <si>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</si>
  <si>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</si>
  <si>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</si>
  <si>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</si>
  <si>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</si>
  <si>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</si>
  <si>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</si>
  <si>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</si>
  <si>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</si>
  <si>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</si>
  <si>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</si>
  <si>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</si>
  <si>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</si>
  <si>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</si>
  <si>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</si>
  <si>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</si>
  <si>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</si>
  <si>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</si>
  <si>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</si>
  <si>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</si>
  <si>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</si>
  <si>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</si>
  <si>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</si>
  <si>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</si>
  <si>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</si>
  <si>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</si>
  <si>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</si>
  <si>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</si>
  <si>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</si>
  <si>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</si>
  <si>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</si>
  <si>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</si>
  <si>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</si>
  <si>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</si>
  <si>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</si>
  <si>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</si>
  <si>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</si>
  <si>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</si>
  <si>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</si>
  <si>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</si>
  <si>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</si>
  <si>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</si>
  <si>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</si>
  <si>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</si>
  <si>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</si>
  <si>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</si>
  <si>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</si>
  <si>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</si>
  <si>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</si>
  <si>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</si>
  <si>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</si>
  <si>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</si>
  <si>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</si>
  <si>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</si>
  <si>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</si>
  <si>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</si>
  <si>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</si>
  <si>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</si>
  <si>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</si>
  <si>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</si>
  <si>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</si>
  <si>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</si>
  <si>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</si>
  <si>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</si>
  <si>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</si>
  <si>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</si>
  <si>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</si>
  <si>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</si>
  <si>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</si>
  <si>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</si>
  <si>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</si>
  <si>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</si>
  <si>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</si>
  <si>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</si>
  <si>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</si>
  <si>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</si>
  <si>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</si>
  <si>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</si>
  <si>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</si>
  <si>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</si>
  <si>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</si>
  <si>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</si>
  <si>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</si>
  <si>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</si>
  <si>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</si>
  <si>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</si>
  <si>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</si>
  <si>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</si>
  <si>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</si>
  <si>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</si>
  <si>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</si>
  <si>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</si>
  <si>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</si>
  <si>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</si>
  <si>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</si>
  <si>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</si>
  <si>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</si>
  <si>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</si>
  <si>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</si>
  <si>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</si>
  <si>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</si>
  <si>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</si>
  <si>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</si>
  <si>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</si>
  <si>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</si>
  <si>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</si>
  <si>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</si>
  <si>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</si>
  <si>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</si>
  <si>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</si>
  <si>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</si>
  <si>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</si>
  <si>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</si>
  <si>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</si>
  <si>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</si>
  <si>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</si>
  <si>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</si>
  <si>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</si>
  <si>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</si>
  <si>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</si>
  <si>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</si>
  <si>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</si>
  <si>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</si>
  <si>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</si>
  <si>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</si>
  <si>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</si>
  <si>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</si>
  <si>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</si>
  <si>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</si>
  <si>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</si>
  <si>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</si>
  <si>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</si>
  <si>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</si>
  <si>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</si>
  <si>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</si>
  <si>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</si>
  <si>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</si>
  <si>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</si>
  <si>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</si>
  <si>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</si>
  <si>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</si>
  <si>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</si>
  <si>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</si>
  <si>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</si>
  <si>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</si>
  <si>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</si>
  <si>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</si>
  <si>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</si>
  <si>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</si>
  <si>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</si>
  <si>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</si>
  <si>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</si>
  <si>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</si>
  <si>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</si>
  <si>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</si>
  <si>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</si>
  <si>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</si>
  <si>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</si>
  <si>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</si>
  <si>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</si>
  <si>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</si>
  <si>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</si>
  <si>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</si>
  <si>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</si>
  <si>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</si>
  <si>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</si>
  <si>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</si>
  <si>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</si>
  <si>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</si>
  <si>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</si>
  <si>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</si>
  <si>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</si>
  <si>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</si>
  <si>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</si>
  <si>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</si>
  <si>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</si>
  <si>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</si>
  <si>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</si>
  <si>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</si>
  <si>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</si>
  <si>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</si>
  <si>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</si>
  <si>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</si>
  <si>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</si>
  <si>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</si>
  <si>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ZODIAC COASTAL PT</t>
  </si>
  <si>
    <t>COASTAL</t>
  </si>
  <si>
    <t>14 MT</t>
  </si>
  <si>
    <t>A10</t>
  </si>
  <si>
    <t>XDC5FD23H818</t>
  </si>
  <si>
    <t>CORAÇÃO DO OCEANO</t>
  </si>
  <si>
    <t>-</t>
  </si>
  <si>
    <t xml:space="preserve">DK99 </t>
  </si>
  <si>
    <t>0,270</t>
  </si>
  <si>
    <t>08/2018</t>
  </si>
  <si>
    <t>MANUEL CABRAL ANDRADE PALRÃO</t>
  </si>
  <si>
    <t>1011 Hpa</t>
  </si>
  <si>
    <t>17 Cº</t>
  </si>
  <si>
    <t>12 Cº</t>
  </si>
  <si>
    <t>17w340007</t>
  </si>
  <si>
    <t>07/17</t>
  </si>
  <si>
    <t>PORTUGAL</t>
  </si>
  <si>
    <t>08/2027</t>
  </si>
  <si>
    <t>05/2027</t>
  </si>
  <si>
    <t>AZ25-074</t>
  </si>
  <si>
    <t>06/2028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</si>
</sst>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409575</xdr:colOff>
      <xdr:row>54</xdr:row>
      <xdr:rowOff>125041</xdr:rowOff>
    </xdr:from>
    <xdr:to>
      <xdr:col>20</xdr:col>
      <xdr:colOff>68470</xdr:colOff>
      <xdr:row>65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9750" y="8821366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5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AZ25-074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ZODIAC COASTAL PT</v>
      </c>
      <c r="D12" s="156"/>
      <c r="E12" s="157"/>
      <c r="F12" s="147"/>
      <c r="G12" s="148">
        <f>QUADRO!J7</f>
        <v>8</v>
      </c>
      <c r="H12" s="147"/>
      <c r="I12" s="159" t="str">
        <f>QUADRO!C7</f>
        <v>XDC5FD23H818</v>
      </c>
      <c r="J12" s="160"/>
      <c r="K12" s="146" t="str">
        <f>QUADRO!G79</f>
        <v>08/2018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302</v>
      </c>
      <c r="D15" s="158"/>
      <c r="E15" s="158"/>
      <c r="F15" s="151"/>
      <c r="G15" s="18">
        <v>14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17w340007</v>
      </c>
      <c r="D19" s="180"/>
      <c r="E19" s="180"/>
      <c r="F19" s="181"/>
      <c r="G19" s="162">
        <f>QUADRO!I62</f>
        <v>3.68</v>
      </c>
      <c r="H19" s="162"/>
      <c r="I19" s="162" t="str">
        <f>QUADRO!I64</f>
        <v>0,270</v>
      </c>
      <c r="J19" s="162"/>
      <c r="K19" s="163" t="str">
        <f>QUADRO!I66</f>
        <v>07/17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COASTAL</v>
      </c>
      <c r="H26" s="193"/>
      <c r="I26" s="173" t="str">
        <f>QUADRO!C7</f>
        <v>XDC5FD23H818</v>
      </c>
      <c r="J26" s="174"/>
      <c r="K26" s="175">
        <f>QUADRO!F81+366</f>
        <v>46117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303</v>
      </c>
      <c r="H34" s="166"/>
      <c r="I34" s="165"/>
      <c r="J34" s="166"/>
      <c r="K34" s="173" t="str">
        <f>QUADRO!J13</f>
        <v>08/2027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301</v>
      </c>
      <c r="F40" s="190"/>
      <c r="G40" s="35" t="s">
        <v>52</v>
      </c>
      <c r="H40" s="166" t="s">
        <v>301</v>
      </c>
      <c r="I40" s="35" t="s">
        <v>73</v>
      </c>
      <c r="J40" s="166" t="s">
        <v>301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/>
      <c r="F42" s="193"/>
      <c r="G42" s="35" t="s">
        <v>54</v>
      </c>
      <c r="H42" s="189"/>
      <c r="I42" s="35" t="s">
        <v>54</v>
      </c>
      <c r="J42" s="189"/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45751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46116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 t="s">
        <v>309</v>
      </c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304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305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84</v>
      </c>
      <c r="B57" s="145"/>
      <c r="C57" s="22"/>
      <c r="D57" s="142" t="s">
        <v>326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82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CORAÇÃO DO OCEANO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320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8" t="s">
        <v>308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86</v>
      </c>
      <c r="E3" s="214"/>
      <c r="F3" s="214"/>
      <c r="G3" s="214"/>
      <c r="H3" s="215" t="s">
        <v>87</v>
      </c>
      <c r="I3" s="217"/>
      <c r="J3" s="218"/>
    </row>
    <row r="4" spans="2:15" s="58" customFormat="1" ht="23.4" customHeight="1" x14ac:dyDescent="0.4">
      <c r="B4" s="56" t="s">
        <v>88</v>
      </c>
      <c r="C4" s="57"/>
      <c r="D4" s="219" t="s">
        <v>89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90</v>
      </c>
      <c r="C5" s="56"/>
      <c r="H5" s="220" t="s">
        <v>91</v>
      </c>
      <c r="I5" s="222" t="s">
        <v>329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92</v>
      </c>
      <c r="C7" s="225" t="s">
        <v>314</v>
      </c>
      <c r="D7" s="59" t="s">
        <v>93</v>
      </c>
      <c r="E7" s="227" t="s">
        <v>315</v>
      </c>
      <c r="F7" s="228"/>
      <c r="G7" s="60" t="s">
        <v>94</v>
      </c>
      <c r="H7" s="227" t="s">
        <v>310</v>
      </c>
      <c r="I7" s="239"/>
      <c r="J7" s="242">
        <v>8</v>
      </c>
    </row>
    <row r="8" spans="2:15" ht="23.4" customHeight="1" x14ac:dyDescent="0.3">
      <c r="B8" s="61" t="s">
        <v>95</v>
      </c>
      <c r="C8" s="226"/>
      <c r="D8" s="61" t="s">
        <v>96</v>
      </c>
      <c r="E8" s="229"/>
      <c r="F8" s="230"/>
      <c r="G8" s="62" t="s">
        <v>97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327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327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327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328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328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313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312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311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317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1" t="s">
        <v>232</v>
      </c>
      <c r="H56" s="232"/>
      <c r="I56" s="233" t="s">
        <v>324</v>
      </c>
      <c r="J56" s="235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7" t="s">
        <v>235</v>
      </c>
      <c r="H57" s="238"/>
      <c r="I57" s="234"/>
      <c r="J57" s="236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7" t="s">
        <v>238</v>
      </c>
      <c r="H58" s="248"/>
      <c r="I58" s="244" t="s">
        <v>316</v>
      </c>
      <c r="J58" s="24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7" t="s">
        <v>241</v>
      </c>
      <c r="H59" s="238"/>
      <c r="I59" s="234"/>
      <c r="J59" s="24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7" t="s">
        <v>244</v>
      </c>
      <c r="H60" s="248"/>
      <c r="I60" s="244" t="s">
        <v>316</v>
      </c>
      <c r="J60" s="24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7" t="s">
        <v>247</v>
      </c>
      <c r="H61" s="238"/>
      <c r="I61" s="234"/>
      <c r="J61" s="24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9" t="s">
        <v>250</v>
      </c>
      <c r="H62" s="248"/>
      <c r="I62" s="250">
        <v>3.68</v>
      </c>
      <c r="J62" s="252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330</v>
      </c>
      <c r="G63" s="254" t="s">
        <v>253</v>
      </c>
      <c r="H63" s="238"/>
      <c r="I63" s="251"/>
      <c r="J63" s="253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7" t="s">
        <v>256</v>
      </c>
      <c r="H64" s="248"/>
      <c r="I64" s="244" t="s">
        <v>318</v>
      </c>
      <c r="J64" s="245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37" t="s">
        <v>259</v>
      </c>
      <c r="H65" s="238"/>
      <c r="I65" s="234"/>
      <c r="J65" s="246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49" t="s">
        <v>262</v>
      </c>
      <c r="H66" s="248"/>
      <c r="I66" s="244" t="s">
        <v>325</v>
      </c>
      <c r="J66" s="245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4" t="s">
        <v>265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266</v>
      </c>
      <c r="C69" s="117" t="s">
        <v>267</v>
      </c>
      <c r="D69" s="259" t="s">
        <v>307</v>
      </c>
      <c r="E69" s="260"/>
      <c r="F69" s="118" t="s">
        <v>268</v>
      </c>
      <c r="G69" s="119" t="s">
        <v>269</v>
      </c>
      <c r="H69" s="263" t="s">
        <v>322</v>
      </c>
      <c r="I69" s="119" t="s">
        <v>270</v>
      </c>
      <c r="J69" s="265" t="s">
        <v>323</v>
      </c>
    </row>
    <row r="70" spans="1:11" ht="21.6" customHeight="1" x14ac:dyDescent="0.3">
      <c r="B70" s="256"/>
      <c r="C70" s="120" t="s">
        <v>271</v>
      </c>
      <c r="D70" s="261"/>
      <c r="E70" s="262"/>
      <c r="F70" s="121" t="s">
        <v>272</v>
      </c>
      <c r="G70" s="122" t="s">
        <v>273</v>
      </c>
      <c r="H70" s="264"/>
      <c r="I70" s="122" t="s">
        <v>274</v>
      </c>
      <c r="J70" s="266"/>
    </row>
    <row r="71" spans="1:11" ht="21" x14ac:dyDescent="0.3">
      <c r="B71" s="257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3" t="s">
        <v>321</v>
      </c>
      <c r="I71" s="119" t="s">
        <v>270</v>
      </c>
      <c r="J71" s="263" t="s">
        <v>321</v>
      </c>
    </row>
    <row r="72" spans="1:11" ht="42" customHeight="1" x14ac:dyDescent="0.3">
      <c r="B72" s="258"/>
      <c r="C72" s="125">
        <v>0.41666666666666669</v>
      </c>
      <c r="D72" s="125">
        <v>0.45833333333333331</v>
      </c>
      <c r="E72" s="126" t="s">
        <v>279</v>
      </c>
      <c r="F72" s="121" t="s">
        <v>280</v>
      </c>
      <c r="G72" s="127" t="s">
        <v>273</v>
      </c>
      <c r="H72" s="264"/>
      <c r="I72" s="127" t="s">
        <v>274</v>
      </c>
      <c r="J72" s="264"/>
    </row>
    <row r="73" spans="1:11" ht="21.6" customHeight="1" x14ac:dyDescent="0.3">
      <c r="B73" s="128" t="s">
        <v>281</v>
      </c>
      <c r="C73" s="270">
        <v>202</v>
      </c>
      <c r="D73" s="270">
        <v>198</v>
      </c>
      <c r="E73" s="272">
        <f>1-(D73/C73)</f>
        <v>1.980198019801982E-2</v>
      </c>
      <c r="F73" s="274" t="s">
        <v>282</v>
      </c>
      <c r="G73" s="277"/>
      <c r="H73" s="278"/>
      <c r="I73" s="278"/>
      <c r="J73" s="279"/>
    </row>
    <row r="74" spans="1:11" ht="21.6" customHeight="1" x14ac:dyDescent="0.3">
      <c r="B74" s="129" t="s">
        <v>283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284</v>
      </c>
      <c r="C75" s="270">
        <v>205</v>
      </c>
      <c r="D75" s="270">
        <v>199</v>
      </c>
      <c r="E75" s="272">
        <f>1-(D75/C75)</f>
        <v>2.9268292682926855E-2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285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286</v>
      </c>
      <c r="C77" s="286"/>
      <c r="D77" s="286"/>
      <c r="E77" s="296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287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288</v>
      </c>
      <c r="C79" s="286"/>
      <c r="D79" s="286"/>
      <c r="E79" s="296" t="e">
        <f>1-(D79/C79)</f>
        <v>#DIV/0!</v>
      </c>
      <c r="F79" s="130" t="s">
        <v>289</v>
      </c>
      <c r="G79" s="298" t="s">
        <v>319</v>
      </c>
      <c r="H79" s="300"/>
      <c r="I79" s="301"/>
      <c r="J79" s="302"/>
      <c r="K79" s="55"/>
    </row>
    <row r="80" spans="1:11" ht="21" customHeight="1" x14ac:dyDescent="0.3">
      <c r="B80" s="129" t="s">
        <v>290</v>
      </c>
      <c r="C80" s="287"/>
      <c r="D80" s="287"/>
      <c r="E80" s="297"/>
      <c r="F80" s="131" t="s">
        <v>291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292</v>
      </c>
      <c r="C81" s="290" t="s">
        <v>306</v>
      </c>
      <c r="D81" s="292"/>
      <c r="E81" s="133" t="s">
        <v>293</v>
      </c>
      <c r="F81" s="288">
        <v>45751</v>
      </c>
      <c r="G81" s="133" t="s">
        <v>294</v>
      </c>
      <c r="H81" s="290"/>
      <c r="I81" s="291"/>
      <c r="J81" s="292"/>
      <c r="K81" s="74"/>
    </row>
    <row r="82" spans="1:11" ht="28.2" customHeight="1" x14ac:dyDescent="0.3">
      <c r="B82" s="134" t="s">
        <v>295</v>
      </c>
      <c r="C82" s="293"/>
      <c r="D82" s="295"/>
      <c r="E82" s="135" t="s">
        <v>296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2025-04-04T15:05:48Z</cp:lastPrinted>
  <dcterms:created xsi:type="dcterms:W3CDTF">2001-08-01T17:12:05Z</dcterms:created>
  <dcterms:modified xsi:type="dcterms:W3CDTF">2025-04-04T15:05:51Z</dcterms:modified>
</cp:coreProperties>
</file>